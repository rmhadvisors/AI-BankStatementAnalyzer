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LIENT DATA SCAN\Vasai Client\Naresh H. Jhamnani (1289)\BAJAJI AGENCY\PERIOD 2017-18,1-19,19-20\2019-20\Notice 19-20\"/>
    </mc:Choice>
  </mc:AlternateContent>
  <xr:revisionPtr revIDLastSave="0" documentId="13_ncr:1_{0AC3F9D0-7D3E-4432-BECF-7AC64845B924}" xr6:coauthVersionLast="47" xr6:coauthVersionMax="47" xr10:uidLastSave="{00000000-0000-0000-0000-000000000000}"/>
  <bookViews>
    <workbookView xWindow="-120" yWindow="-120" windowWidth="20730" windowHeight="11160" xr2:uid="{B5770561-A810-4227-A0CB-E40BCAE034E6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4" i="1"/>
  <c r="F24" i="1"/>
  <c r="B25" i="1"/>
  <c r="C25" i="1"/>
  <c r="F25" i="1"/>
  <c r="B26" i="1"/>
  <c r="C26" i="1"/>
  <c r="F26" i="1"/>
  <c r="B27" i="1"/>
  <c r="C27" i="1"/>
  <c r="F27" i="1"/>
  <c r="B28" i="1"/>
  <c r="C28" i="1"/>
  <c r="F28" i="1"/>
  <c r="B29" i="1"/>
  <c r="C29" i="1"/>
  <c r="F29" i="1"/>
  <c r="B30" i="1"/>
  <c r="C30" i="1"/>
  <c r="F30" i="1"/>
  <c r="B31" i="1"/>
  <c r="C31" i="1"/>
  <c r="F31" i="1"/>
  <c r="B32" i="1"/>
  <c r="C32" i="1"/>
  <c r="F32" i="1"/>
  <c r="B33" i="1"/>
  <c r="C33" i="1"/>
  <c r="F33" i="1"/>
  <c r="B34" i="1"/>
  <c r="C34" i="1"/>
  <c r="F34" i="1"/>
  <c r="B35" i="1"/>
  <c r="C35" i="1"/>
  <c r="F35" i="1"/>
  <c r="F36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E36" i="1"/>
  <c r="D36" i="1"/>
  <c r="C36" i="1"/>
  <c r="B36" i="1"/>
  <c r="B7" i="1"/>
  <c r="F7" i="1"/>
  <c r="L7" i="1"/>
  <c r="B8" i="1"/>
  <c r="F8" i="1"/>
  <c r="L8" i="1"/>
  <c r="B9" i="1"/>
  <c r="F9" i="1"/>
  <c r="L9" i="1"/>
  <c r="B10" i="1"/>
  <c r="F10" i="1"/>
  <c r="L10" i="1"/>
  <c r="B11" i="1"/>
  <c r="F11" i="1"/>
  <c r="L11" i="1"/>
  <c r="B12" i="1"/>
  <c r="F12" i="1"/>
  <c r="L12" i="1"/>
  <c r="B13" i="1"/>
  <c r="F13" i="1"/>
  <c r="L13" i="1"/>
  <c r="B14" i="1"/>
  <c r="F14" i="1"/>
  <c r="L14" i="1"/>
  <c r="B15" i="1"/>
  <c r="F15" i="1"/>
  <c r="L15" i="1"/>
  <c r="B16" i="1"/>
  <c r="F16" i="1"/>
  <c r="L16" i="1"/>
  <c r="B17" i="1"/>
  <c r="F17" i="1"/>
  <c r="L17" i="1"/>
  <c r="B18" i="1"/>
  <c r="F18" i="1"/>
  <c r="L18" i="1"/>
  <c r="L19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G7" i="1"/>
  <c r="H7" i="1"/>
  <c r="J7" i="1"/>
  <c r="G8" i="1"/>
  <c r="H8" i="1"/>
  <c r="J8" i="1"/>
  <c r="G9" i="1"/>
  <c r="H9" i="1"/>
  <c r="J9" i="1"/>
  <c r="G10" i="1"/>
  <c r="H10" i="1"/>
  <c r="J10" i="1"/>
  <c r="G11" i="1"/>
  <c r="H11" i="1"/>
  <c r="J11" i="1"/>
  <c r="G12" i="1"/>
  <c r="H12" i="1"/>
  <c r="J12" i="1"/>
  <c r="G13" i="1"/>
  <c r="H13" i="1"/>
  <c r="J13" i="1"/>
  <c r="G14" i="1"/>
  <c r="H14" i="1"/>
  <c r="J14" i="1"/>
  <c r="G15" i="1"/>
  <c r="H15" i="1"/>
  <c r="J15" i="1"/>
  <c r="G16" i="1"/>
  <c r="H16" i="1"/>
  <c r="J16" i="1"/>
  <c r="G17" i="1"/>
  <c r="H17" i="1"/>
  <c r="J17" i="1"/>
  <c r="G18" i="1"/>
  <c r="H18" i="1"/>
  <c r="J18" i="1"/>
  <c r="J19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H19" i="1"/>
  <c r="G19" i="1"/>
  <c r="F19" i="1"/>
  <c r="E17" i="1"/>
  <c r="E19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C19" i="1"/>
  <c r="B19" i="1"/>
</calcChain>
</file>

<file path=xl/sharedStrings.xml><?xml version="1.0" encoding="utf-8"?>
<sst xmlns="http://schemas.openxmlformats.org/spreadsheetml/2006/main" count="28" uniqueCount="24">
  <si>
    <t>FY 2019-20</t>
  </si>
  <si>
    <t>Month</t>
  </si>
  <si>
    <t>Taxable value  as per  GSTR 1</t>
  </si>
  <si>
    <t>Taxable value  as per GSTR3B</t>
  </si>
  <si>
    <t>Difference as per GSTR1 &amp; 3B</t>
  </si>
  <si>
    <t>Amended Value as per GSTR1</t>
  </si>
  <si>
    <t>Taxable value as per books</t>
  </si>
  <si>
    <t>Outward tax as per GSTR 1</t>
  </si>
  <si>
    <t>Outward tax as per GSTR 3B</t>
  </si>
  <si>
    <t>Outward tax as per books</t>
  </si>
  <si>
    <t>Difference in Outward tax R1and 3B</t>
  </si>
  <si>
    <t>Difference as per GSTR1 &amp; Books</t>
  </si>
  <si>
    <t>Total:</t>
  </si>
  <si>
    <t>Legal Name : Naresh Hundraj Jhamnani</t>
  </si>
  <si>
    <t>Trade Name : Balaji Agency</t>
  </si>
  <si>
    <t>GSTN : 27ACUPJ6163D1ZC</t>
  </si>
  <si>
    <t xml:space="preserve">Sales Reconciliation Statement </t>
  </si>
  <si>
    <t xml:space="preserve">ITC Reconciliation Statement </t>
  </si>
  <si>
    <t>ITC as per 2A</t>
  </si>
  <si>
    <t>ITC claimed in GSTR 3B</t>
  </si>
  <si>
    <t>ITC as per books</t>
  </si>
  <si>
    <t>Difference as per 3B and Books</t>
  </si>
  <si>
    <t>Difference as per 2A and 3B</t>
  </si>
  <si>
    <t xml:space="preserve">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</si>
</sst>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10.5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43" fontId="3" fillId="0" borderId="5" xfId="1" applyFont="1" applyFill="1" applyBorder="1" applyAlignment="1">
      <alignment horizontal="center" vertical="center" wrapText="1"/>
    </xf>
    <xf numFmtId="17" fontId="4" fillId="0" borderId="7" xfId="0" applyNumberFormat="1" applyFont="1" applyBorder="1"/>
    <xf numFmtId="4" fontId="4" fillId="0" borderId="7" xfId="0" applyNumberFormat="1" applyFont="1" applyBorder="1"/>
    <xf numFmtId="4" fontId="4" fillId="0" borderId="8" xfId="0" applyNumberFormat="1" applyFont="1" applyBorder="1"/>
    <xf numFmtId="43" fontId="4" fillId="0" borderId="7" xfId="1" applyFont="1" applyFill="1" applyBorder="1"/>
    <xf numFmtId="43" fontId="4" fillId="0" borderId="9" xfId="1" applyFont="1" applyFill="1" applyBorder="1"/>
    <xf numFmtId="4" fontId="4" fillId="0" borderId="9" xfId="0" applyNumberFormat="1" applyFont="1" applyBorder="1"/>
    <xf numFmtId="4" fontId="2" fillId="0" borderId="11" xfId="0" applyNumberFormat="1" applyFont="1" applyBorder="1"/>
    <xf numFmtId="4" fontId="5" fillId="0" borderId="8" xfId="0" applyNumberFormat="1" applyFont="1" applyBorder="1"/>
    <xf numFmtId="0" fontId="6" fillId="0" borderId="0" xfId="0" applyFont="1"/>
    <xf numFmtId="0" fontId="2" fillId="0" borderId="10" xfId="0" applyFont="1" applyBorder="1"/>
    <xf numFmtId="4" fontId="2" fillId="0" borderId="12" xfId="0" applyNumberFormat="1" applyFont="1" applyBorder="1"/>
    <xf numFmtId="4" fontId="2" fillId="0" borderId="13" xfId="0" applyNumberFormat="1" applyFont="1" applyBorder="1"/>
    <xf numFmtId="4" fontId="2" fillId="0" borderId="2" xfId="0" applyNumberFormat="1" applyFont="1" applyBorder="1"/>
    <xf numFmtId="0" fontId="9" fillId="0" borderId="0" xfId="0" applyFont="1"/>
    <xf numFmtId="0" fontId="8" fillId="0" borderId="4" xfId="0" applyFont="1" applyBorder="1" applyAlignment="1">
      <alignment horizontal="center" vertical="center" wrapText="1"/>
    </xf>
    <xf numFmtId="43" fontId="8" fillId="0" borderId="5" xfId="1" applyFont="1" applyFill="1" applyBorder="1" applyAlignment="1">
      <alignment horizontal="center" vertical="center" wrapText="1"/>
    </xf>
    <xf numFmtId="43" fontId="8" fillId="0" borderId="6" xfId="1" applyFont="1" applyFill="1" applyBorder="1" applyAlignment="1">
      <alignment horizontal="center" vertical="center" wrapText="1"/>
    </xf>
    <xf numFmtId="4" fontId="5" fillId="0" borderId="7" xfId="0" applyNumberFormat="1" applyFont="1" applyBorder="1"/>
    <xf numFmtId="0" fontId="3" fillId="0" borderId="5" xfId="0" applyFont="1" applyBorder="1" applyAlignment="1">
      <alignment horizontal="center" vertical="center" wrapText="1"/>
    </xf>
    <xf numFmtId="4" fontId="2" fillId="0" borderId="14" xfId="0" applyNumberFormat="1" applyFont="1" applyBorder="1"/>
    <xf numFmtId="4" fontId="4" fillId="0" borderId="11" xfId="0" applyNumberFormat="1" applyFont="1" applyBorder="1"/>
    <xf numFmtId="4" fontId="4" fillId="0" borderId="15" xfId="0" applyNumberFormat="1" applyFont="1" applyBorder="1"/>
    <xf numFmtId="0" fontId="3" fillId="0" borderId="7" xfId="0" applyFont="1" applyBorder="1" applyAlignment="1">
      <alignment horizontal="center" vertical="center" wrapText="1"/>
    </xf>
    <xf numFmtId="0" fontId="2" fillId="0" borderId="7" xfId="0" applyFont="1" applyBorder="1"/>
    <xf numFmtId="0" fontId="7" fillId="0" borderId="0" xfId="0" applyFont="1"/>
    <xf numFmtId="43" fontId="8" fillId="0" borderId="7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" fontId="2" fillId="2" borderId="11" xfId="0" applyNumberFormat="1" applyFont="1" applyFill="1" applyBorder="1"/>
    <xf numFmtId="4" fontId="2" fillId="2" borderId="2" xfId="0" applyNumberFormat="1" applyFont="1" applyFill="1" applyBorder="1"/>
    <xf numFmtId="4" fontId="2" fillId="2" borderId="13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8555-10DE-4CAE-821C-6EC92CD98591}">
  <dimension ref="A1:L36"/>
  <sheetViews>
    <sheetView tabSelected="1" topLeftCell="A6" workbookViewId="0">
      <selection activeCell="P15" sqref="P15"/>
    </sheetView>
  </sheetViews>
  <sheetFormatPr defaultRowHeight="15" x14ac:dyDescent="0.25"/>
  <cols>
    <col min="1" max="1" width="6.7109375" bestFit="1" customWidth="1"/>
    <col min="2" max="2" width="12" customWidth="1"/>
    <col min="3" max="3" width="11.28515625" bestFit="1" customWidth="1"/>
    <col min="4" max="4" width="11.85546875" bestFit="1" customWidth="1"/>
    <col min="5" max="5" width="14.5703125" customWidth="1"/>
    <col min="6" max="8" width="11.28515625" bestFit="1" customWidth="1"/>
    <col min="9" max="9" width="11" customWidth="1"/>
    <col min="10" max="10" width="12.42578125" customWidth="1"/>
    <col min="11" max="11" width="11.85546875" bestFit="1" customWidth="1"/>
    <col min="12" max="12" width="12.28515625" customWidth="1"/>
  </cols>
  <sheetData>
    <row r="1" spans="1:12" s="10" customFormat="1" ht="15.75" x14ac:dyDescent="0.25">
      <c r="A1" s="26" t="s">
        <v>13</v>
      </c>
      <c r="B1" s="26"/>
      <c r="C1" s="26"/>
    </row>
    <row r="2" spans="1:12" s="10" customFormat="1" ht="15.75" x14ac:dyDescent="0.25">
      <c r="A2" s="26" t="s">
        <v>14</v>
      </c>
      <c r="B2" s="26"/>
      <c r="C2" s="26"/>
    </row>
    <row r="3" spans="1:12" s="10" customFormat="1" ht="15.75" x14ac:dyDescent="0.25">
      <c r="A3" s="26" t="s">
        <v>15</v>
      </c>
      <c r="B3" s="26"/>
      <c r="C3" s="26"/>
    </row>
    <row r="4" spans="1:12" s="10" customFormat="1" ht="16.5" thickBot="1" x14ac:dyDescent="0.3">
      <c r="A4" s="26" t="s">
        <v>16</v>
      </c>
      <c r="B4" s="26"/>
      <c r="C4" s="26"/>
    </row>
    <row r="5" spans="1:12" ht="15.75" thickBot="1" x14ac:dyDescent="0.3">
      <c r="A5" s="28" t="s">
        <v>0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30"/>
    </row>
    <row r="6" spans="1:12" s="15" customFormat="1" ht="45" customHeight="1" x14ac:dyDescent="0.2">
      <c r="A6" s="16" t="s">
        <v>1</v>
      </c>
      <c r="B6" s="17" t="s">
        <v>2</v>
      </c>
      <c r="C6" s="17" t="s">
        <v>3</v>
      </c>
      <c r="D6" s="17" t="s">
        <v>4</v>
      </c>
      <c r="E6" s="18" t="s">
        <v>5</v>
      </c>
      <c r="F6" s="18" t="s">
        <v>6</v>
      </c>
      <c r="G6" s="18" t="s">
        <v>7</v>
      </c>
      <c r="H6" s="18" t="s">
        <v>8</v>
      </c>
      <c r="I6" s="18" t="s">
        <v>9</v>
      </c>
      <c r="J6" s="17" t="s">
        <v>10</v>
      </c>
      <c r="K6" s="18" t="s">
        <v>4</v>
      </c>
      <c r="L6" s="27" t="s">
        <v>11</v>
      </c>
    </row>
    <row r="7" spans="1:12" x14ac:dyDescent="0.25">
      <c r="A7" s="2">
        <v>43556</v>
      </c>
      <c r="B7" s="3">
        <f>385402.18+5178486.82</f>
        <v>5563889</v>
      </c>
      <c r="C7" s="3">
        <v>11042954.92</v>
      </c>
      <c r="D7" s="4">
        <f t="shared" ref="D7:D18" si="0">B7-C7</f>
        <v>-5479065.9199999999</v>
      </c>
      <c r="E7" s="3"/>
      <c r="F7" s="3">
        <f>5926442.89+55128+251028.39</f>
        <v>6232599.2799999993</v>
      </c>
      <c r="G7" s="3">
        <f t="shared" ref="G7:H18" si="1">B7*18%</f>
        <v>1001500.02</v>
      </c>
      <c r="H7" s="3">
        <f>C7*18%</f>
        <v>1987731.8855999999</v>
      </c>
      <c r="I7" s="3">
        <f t="shared" ref="I7:I18" si="2">F7*18%</f>
        <v>1121867.8703999999</v>
      </c>
      <c r="J7" s="3">
        <f t="shared" ref="J7:J18" si="3">G7-H7</f>
        <v>-986231.8655999999</v>
      </c>
      <c r="K7" s="3">
        <f t="shared" ref="K7:K18" si="4">B7-C7</f>
        <v>-5479065.9199999999</v>
      </c>
      <c r="L7" s="3">
        <f t="shared" ref="L7:L18" si="5">B7-F7</f>
        <v>-668710.27999999933</v>
      </c>
    </row>
    <row r="8" spans="1:12" x14ac:dyDescent="0.25">
      <c r="A8" s="2">
        <v>43586</v>
      </c>
      <c r="B8" s="3">
        <f>288873.94+5507172</f>
        <v>5796045.9400000004</v>
      </c>
      <c r="C8" s="3">
        <v>6490374.75</v>
      </c>
      <c r="D8" s="4">
        <f t="shared" si="0"/>
        <v>-694328.80999999959</v>
      </c>
      <c r="E8" s="5"/>
      <c r="F8" s="3">
        <f>5828415.55+37829.6+234469.49</f>
        <v>6100714.6399999997</v>
      </c>
      <c r="G8" s="3">
        <f t="shared" si="1"/>
        <v>1043288.2692</v>
      </c>
      <c r="H8" s="3">
        <f>C8*18%</f>
        <v>1168267.4549999998</v>
      </c>
      <c r="I8" s="3">
        <f t="shared" si="2"/>
        <v>1098128.6351999999</v>
      </c>
      <c r="J8" s="3">
        <f t="shared" si="3"/>
        <v>-124979.18579999986</v>
      </c>
      <c r="K8" s="3">
        <f t="shared" si="4"/>
        <v>-694328.80999999959</v>
      </c>
      <c r="L8" s="3">
        <f t="shared" si="5"/>
        <v>-304668.69999999925</v>
      </c>
    </row>
    <row r="9" spans="1:12" x14ac:dyDescent="0.25">
      <c r="A9" s="2">
        <v>43617</v>
      </c>
      <c r="B9" s="3">
        <f>262088.41+4946877</f>
        <v>5208965.41</v>
      </c>
      <c r="C9" s="3">
        <v>5593588.4900000002</v>
      </c>
      <c r="D9" s="4">
        <f t="shared" si="0"/>
        <v>-384623.08000000007</v>
      </c>
      <c r="E9" s="5"/>
      <c r="F9" s="3">
        <f>5260628.09+36738.9+249199.73</f>
        <v>5546566.7200000007</v>
      </c>
      <c r="G9" s="3">
        <f t="shared" si="1"/>
        <v>937613.77379999997</v>
      </c>
      <c r="H9" s="3">
        <f t="shared" si="1"/>
        <v>1006845.9282</v>
      </c>
      <c r="I9" s="3">
        <f t="shared" si="2"/>
        <v>998382.00960000011</v>
      </c>
      <c r="J9" s="3">
        <f t="shared" si="3"/>
        <v>-69232.154399999999</v>
      </c>
      <c r="K9" s="3">
        <f t="shared" si="4"/>
        <v>-384623.08000000007</v>
      </c>
      <c r="L9" s="3">
        <f t="shared" si="5"/>
        <v>-337601.31000000052</v>
      </c>
    </row>
    <row r="10" spans="1:12" x14ac:dyDescent="0.25">
      <c r="A10" s="2">
        <v>43647</v>
      </c>
      <c r="B10" s="19">
        <f>266558.46+5457747.14</f>
        <v>5724305.5999999996</v>
      </c>
      <c r="C10" s="3">
        <v>6124856.5199999996</v>
      </c>
      <c r="D10" s="4">
        <f t="shared" si="0"/>
        <v>-400550.91999999993</v>
      </c>
      <c r="E10" s="5"/>
      <c r="F10" s="3">
        <f>5756378.63+26448+330416.26</f>
        <v>6113242.8899999997</v>
      </c>
      <c r="G10" s="3">
        <f t="shared" si="1"/>
        <v>1030375.0079999999</v>
      </c>
      <c r="H10" s="3">
        <f t="shared" si="1"/>
        <v>1102474.1735999999</v>
      </c>
      <c r="I10" s="3">
        <f t="shared" si="2"/>
        <v>1100383.7201999999</v>
      </c>
      <c r="J10" s="3">
        <f t="shared" si="3"/>
        <v>-72099.165599999949</v>
      </c>
      <c r="K10" s="3">
        <f t="shared" si="4"/>
        <v>-400550.91999999993</v>
      </c>
      <c r="L10" s="3">
        <f t="shared" si="5"/>
        <v>-388937.29000000004</v>
      </c>
    </row>
    <row r="11" spans="1:12" x14ac:dyDescent="0.25">
      <c r="A11" s="2">
        <v>43678</v>
      </c>
      <c r="B11" s="3">
        <f>358444.63+5866781.26</f>
        <v>6225225.8899999997</v>
      </c>
      <c r="C11" s="3">
        <v>6253255.8899999997</v>
      </c>
      <c r="D11" s="4">
        <f t="shared" si="0"/>
        <v>-28030</v>
      </c>
      <c r="E11" s="5"/>
      <c r="F11" s="3">
        <f>6197196+28029.89+412148.52</f>
        <v>6637374.4100000001</v>
      </c>
      <c r="G11" s="3">
        <f t="shared" si="1"/>
        <v>1120540.6601999998</v>
      </c>
      <c r="H11" s="3">
        <f t="shared" si="1"/>
        <v>1125586.0601999999</v>
      </c>
      <c r="I11" s="3">
        <f t="shared" si="2"/>
        <v>1194727.3938</v>
      </c>
      <c r="J11" s="3">
        <f t="shared" si="3"/>
        <v>-5045.4000000001397</v>
      </c>
      <c r="K11" s="3">
        <f t="shared" si="4"/>
        <v>-28030</v>
      </c>
      <c r="L11" s="3">
        <f t="shared" si="5"/>
        <v>-412148.52000000048</v>
      </c>
    </row>
    <row r="12" spans="1:12" x14ac:dyDescent="0.25">
      <c r="A12" s="2">
        <v>43709</v>
      </c>
      <c r="B12" s="3">
        <f>436860.1+5985698</f>
        <v>6422558.0999999996</v>
      </c>
      <c r="C12" s="3">
        <v>6422558.5</v>
      </c>
      <c r="D12" s="4">
        <f t="shared" si="0"/>
        <v>-0.40000000037252903</v>
      </c>
      <c r="E12" s="5">
        <v>11192639</v>
      </c>
      <c r="F12" s="3">
        <f>5939221.09+458624.64+26850.03</f>
        <v>6424695.7599999998</v>
      </c>
      <c r="G12" s="3">
        <f t="shared" si="1"/>
        <v>1156060.4579999999</v>
      </c>
      <c r="H12" s="3">
        <f t="shared" si="1"/>
        <v>1156060.53</v>
      </c>
      <c r="I12" s="3">
        <f t="shared" si="2"/>
        <v>1156445.2367999998</v>
      </c>
      <c r="J12" s="3">
        <f t="shared" si="3"/>
        <v>-7.2000000160187483E-2</v>
      </c>
      <c r="K12" s="3">
        <f t="shared" si="4"/>
        <v>-0.40000000037252903</v>
      </c>
      <c r="L12" s="3">
        <f t="shared" si="5"/>
        <v>-2137.660000000149</v>
      </c>
    </row>
    <row r="13" spans="1:12" x14ac:dyDescent="0.25">
      <c r="A13" s="2">
        <v>43739</v>
      </c>
      <c r="B13" s="3">
        <f>462134.65+7201876.4</f>
        <v>7664011.0500000007</v>
      </c>
      <c r="C13" s="3">
        <v>7664011.0499999998</v>
      </c>
      <c r="D13" s="4">
        <f t="shared" si="0"/>
        <v>0</v>
      </c>
      <c r="E13" s="5"/>
      <c r="F13" s="3">
        <f>6949990+714021.05</f>
        <v>7664011.0499999998</v>
      </c>
      <c r="G13" s="3">
        <f t="shared" si="1"/>
        <v>1379521.9890000001</v>
      </c>
      <c r="H13" s="3">
        <f t="shared" si="1"/>
        <v>1379521.9889999998</v>
      </c>
      <c r="I13" s="3">
        <f t="shared" si="2"/>
        <v>1379521.9889999998</v>
      </c>
      <c r="J13" s="3">
        <f t="shared" si="3"/>
        <v>0</v>
      </c>
      <c r="K13" s="3">
        <f t="shared" si="4"/>
        <v>0</v>
      </c>
      <c r="L13" s="3">
        <f t="shared" si="5"/>
        <v>0</v>
      </c>
    </row>
    <row r="14" spans="1:12" x14ac:dyDescent="0.25">
      <c r="A14" s="2">
        <v>43770</v>
      </c>
      <c r="B14" s="3">
        <f>730233.5+6691106</f>
        <v>7421339.5</v>
      </c>
      <c r="C14" s="3">
        <v>7421339.5</v>
      </c>
      <c r="D14" s="4">
        <f t="shared" si="0"/>
        <v>0</v>
      </c>
      <c r="E14" s="5"/>
      <c r="F14" s="3">
        <f>6691106+13770.61+983031.09</f>
        <v>7687907.7000000002</v>
      </c>
      <c r="G14" s="3">
        <f t="shared" si="1"/>
        <v>1335841.1099999999</v>
      </c>
      <c r="H14" s="3">
        <f t="shared" si="1"/>
        <v>1335841.1099999999</v>
      </c>
      <c r="I14" s="3">
        <f t="shared" si="2"/>
        <v>1383823.3859999999</v>
      </c>
      <c r="J14" s="3">
        <f t="shared" si="3"/>
        <v>0</v>
      </c>
      <c r="K14" s="3">
        <f t="shared" si="4"/>
        <v>0</v>
      </c>
      <c r="L14" s="3">
        <f t="shared" si="5"/>
        <v>-266568.20000000019</v>
      </c>
    </row>
    <row r="15" spans="1:12" x14ac:dyDescent="0.25">
      <c r="A15" s="2">
        <v>43800</v>
      </c>
      <c r="B15" s="3">
        <f>999011.96+7273493.85</f>
        <v>8272505.8099999996</v>
      </c>
      <c r="C15" s="3">
        <v>8272505.8099999996</v>
      </c>
      <c r="D15" s="4">
        <f t="shared" si="0"/>
        <v>0</v>
      </c>
      <c r="E15" s="5"/>
      <c r="F15" s="3">
        <f>8256528+15980.73+752211.06</f>
        <v>9024719.790000001</v>
      </c>
      <c r="G15" s="3">
        <f t="shared" si="1"/>
        <v>1489051.0458</v>
      </c>
      <c r="H15" s="3">
        <f t="shared" si="1"/>
        <v>1489051.0458</v>
      </c>
      <c r="I15" s="3">
        <f t="shared" si="2"/>
        <v>1624449.5622</v>
      </c>
      <c r="J15" s="3">
        <f t="shared" si="3"/>
        <v>0</v>
      </c>
      <c r="K15" s="3">
        <f t="shared" si="4"/>
        <v>0</v>
      </c>
      <c r="L15" s="3">
        <f t="shared" si="5"/>
        <v>-752213.98000000138</v>
      </c>
    </row>
    <row r="16" spans="1:12" x14ac:dyDescent="0.25">
      <c r="A16" s="2">
        <v>43831</v>
      </c>
      <c r="B16" s="3">
        <f>765066.57+8442736.94</f>
        <v>9207803.5099999998</v>
      </c>
      <c r="C16" s="3">
        <v>14754262.57</v>
      </c>
      <c r="D16" s="4">
        <f t="shared" si="0"/>
        <v>-5546459.0600000005</v>
      </c>
      <c r="E16" s="5"/>
      <c r="F16" s="3">
        <f>9194948+12855.04+685144.63</f>
        <v>9892947.6699999999</v>
      </c>
      <c r="G16" s="3">
        <f t="shared" si="1"/>
        <v>1657404.6317999999</v>
      </c>
      <c r="H16" s="3">
        <f t="shared" si="1"/>
        <v>2655767.2626</v>
      </c>
      <c r="I16" s="3">
        <f t="shared" si="2"/>
        <v>1780730.5806</v>
      </c>
      <c r="J16" s="3">
        <f t="shared" si="3"/>
        <v>-998362.63080000016</v>
      </c>
      <c r="K16" s="3">
        <f t="shared" si="4"/>
        <v>-5546459.0600000005</v>
      </c>
      <c r="L16" s="3">
        <f t="shared" si="5"/>
        <v>-685144.16000000015</v>
      </c>
    </row>
    <row r="17" spans="1:12" x14ac:dyDescent="0.25">
      <c r="A17" s="2">
        <v>43862</v>
      </c>
      <c r="B17" s="3">
        <f>800495.84+8831158.37</f>
        <v>9631654.209999999</v>
      </c>
      <c r="C17" s="3">
        <v>11328273</v>
      </c>
      <c r="D17" s="4">
        <f t="shared" si="0"/>
        <v>-1696618.790000001</v>
      </c>
      <c r="E17" s="9">
        <f>222907.17+10597513.38</f>
        <v>10820420.550000001</v>
      </c>
      <c r="F17" s="3">
        <f>9869103+12678.08+856492.32</f>
        <v>10738273.4</v>
      </c>
      <c r="G17" s="3">
        <f t="shared" si="1"/>
        <v>1733697.7577999998</v>
      </c>
      <c r="H17" s="3">
        <f t="shared" si="1"/>
        <v>2039089.14</v>
      </c>
      <c r="I17" s="3">
        <f t="shared" si="2"/>
        <v>1932889.2120000001</v>
      </c>
      <c r="J17" s="3">
        <f t="shared" si="3"/>
        <v>-305391.38220000011</v>
      </c>
      <c r="K17" s="3">
        <f t="shared" si="4"/>
        <v>-1696618.790000001</v>
      </c>
      <c r="L17" s="3">
        <f t="shared" si="5"/>
        <v>-1106619.1900000013</v>
      </c>
    </row>
    <row r="18" spans="1:12" ht="15.75" thickBot="1" x14ac:dyDescent="0.3">
      <c r="A18" s="2">
        <v>43891</v>
      </c>
      <c r="B18" s="3">
        <f>868065.04+6505243.79</f>
        <v>7373308.8300000001</v>
      </c>
      <c r="C18" s="3">
        <v>8076091.9100000001</v>
      </c>
      <c r="D18" s="4">
        <f t="shared" si="0"/>
        <v>-702783.08000000007</v>
      </c>
      <c r="E18" s="6"/>
      <c r="F18" s="3">
        <f>5816021.67+11572.72+699237.42</f>
        <v>6526831.8099999996</v>
      </c>
      <c r="G18" s="3">
        <f t="shared" si="1"/>
        <v>1327195.5893999999</v>
      </c>
      <c r="H18" s="3">
        <f t="shared" si="1"/>
        <v>1453696.5437999999</v>
      </c>
      <c r="I18" s="7">
        <f t="shared" si="2"/>
        <v>1174829.7257999999</v>
      </c>
      <c r="J18" s="3">
        <f t="shared" si="3"/>
        <v>-126500.95439999993</v>
      </c>
      <c r="K18" s="3">
        <f t="shared" si="4"/>
        <v>-702783.08000000007</v>
      </c>
      <c r="L18" s="3">
        <f t="shared" si="5"/>
        <v>846477.02000000048</v>
      </c>
    </row>
    <row r="19" spans="1:12" ht="15.75" thickBot="1" x14ac:dyDescent="0.3">
      <c r="A19" s="11" t="s">
        <v>12</v>
      </c>
      <c r="B19" s="8">
        <f t="shared" ref="B19:L19" si="6">SUM(B7:B18)</f>
        <v>84511612.850000009</v>
      </c>
      <c r="C19" s="32">
        <f t="shared" si="6"/>
        <v>99444072.909999996</v>
      </c>
      <c r="D19" s="12">
        <f t="shared" si="6"/>
        <v>-14932460.060000002</v>
      </c>
      <c r="E19" s="13">
        <f t="shared" si="6"/>
        <v>22013059.550000001</v>
      </c>
      <c r="F19" s="33">
        <f t="shared" si="6"/>
        <v>88589885.120000005</v>
      </c>
      <c r="G19" s="34">
        <f t="shared" si="6"/>
        <v>15212090.313000001</v>
      </c>
      <c r="H19" s="14">
        <f>SUM(H7:H18)-656663.56</f>
        <v>17243269.5638</v>
      </c>
      <c r="I19" s="13">
        <f t="shared" si="6"/>
        <v>15946179.321599999</v>
      </c>
      <c r="J19" s="14">
        <f t="shared" si="6"/>
        <v>-2687842.8108000001</v>
      </c>
      <c r="K19" s="14">
        <f t="shared" si="6"/>
        <v>-14932460.060000002</v>
      </c>
      <c r="L19" s="13">
        <f t="shared" si="6"/>
        <v>-4078272.2700000023</v>
      </c>
    </row>
    <row r="21" spans="1:12" ht="16.5" thickBot="1" x14ac:dyDescent="0.3">
      <c r="A21" s="10" t="s">
        <v>17</v>
      </c>
    </row>
    <row r="22" spans="1:12" ht="15.75" thickBot="1" x14ac:dyDescent="0.3">
      <c r="A22" s="28" t="s">
        <v>0</v>
      </c>
      <c r="B22" s="29"/>
      <c r="C22" s="29"/>
      <c r="D22" s="29"/>
      <c r="E22" s="29"/>
      <c r="F22" s="31"/>
    </row>
    <row r="23" spans="1:12" ht="39" customHeight="1" x14ac:dyDescent="0.25">
      <c r="A23" s="24" t="s">
        <v>1</v>
      </c>
      <c r="B23" s="20" t="s">
        <v>18</v>
      </c>
      <c r="C23" s="1" t="s">
        <v>19</v>
      </c>
      <c r="D23" s="1" t="s">
        <v>20</v>
      </c>
      <c r="E23" s="1" t="s">
        <v>21</v>
      </c>
      <c r="F23" s="20" t="s">
        <v>22</v>
      </c>
    </row>
    <row r="24" spans="1:12" x14ac:dyDescent="0.25">
      <c r="A24" s="2">
        <v>43556</v>
      </c>
      <c r="B24" s="3">
        <f>549599.14*2</f>
        <v>1099198.28</v>
      </c>
      <c r="C24" s="3">
        <f>976947.21*2</f>
        <v>1953894.42</v>
      </c>
      <c r="D24" s="3">
        <f>545604.25*2</f>
        <v>1091208.5</v>
      </c>
      <c r="E24" s="3">
        <f>C24-D24</f>
        <v>862685.91999999993</v>
      </c>
      <c r="F24" s="3">
        <f>B24-C24</f>
        <v>-854696.1399999999</v>
      </c>
    </row>
    <row r="25" spans="1:12" x14ac:dyDescent="0.25">
      <c r="A25" s="2">
        <v>43586</v>
      </c>
      <c r="B25" s="3">
        <f>486638.15*2</f>
        <v>973276.3</v>
      </c>
      <c r="C25" s="3">
        <f>507406.12*2</f>
        <v>1014812.24</v>
      </c>
      <c r="D25" s="3">
        <f>479185.82*2</f>
        <v>958371.64</v>
      </c>
      <c r="E25" s="3">
        <f t="shared" ref="E25:E35" si="7">C25-D25</f>
        <v>56440.599999999977</v>
      </c>
      <c r="F25" s="3">
        <f t="shared" ref="F25:F35" si="8">B25-C25</f>
        <v>-41535.939999999944</v>
      </c>
    </row>
    <row r="26" spans="1:12" x14ac:dyDescent="0.25">
      <c r="A26" s="2">
        <v>43617</v>
      </c>
      <c r="B26" s="3">
        <f>504179.35*2</f>
        <v>1008358.7</v>
      </c>
      <c r="C26" s="3">
        <f>499931.96*2</f>
        <v>999863.92</v>
      </c>
      <c r="D26" s="3">
        <f>511699.3*2</f>
        <v>1023398.6</v>
      </c>
      <c r="E26" s="3">
        <f t="shared" si="7"/>
        <v>-23534.679999999935</v>
      </c>
      <c r="F26" s="3">
        <f t="shared" si="8"/>
        <v>8494.7799999999115</v>
      </c>
      <c r="I26" t="s">
        <v>23</v>
      </c>
    </row>
    <row r="27" spans="1:12" x14ac:dyDescent="0.25">
      <c r="A27" s="2">
        <v>43647</v>
      </c>
      <c r="B27" s="3">
        <f>533228.01*2</f>
        <v>1066456.02</v>
      </c>
      <c r="C27" s="3">
        <f>537038.44*2</f>
        <v>1074076.8799999999</v>
      </c>
      <c r="D27" s="3">
        <f>537038.52*2</f>
        <v>1074077.04</v>
      </c>
      <c r="E27" s="3">
        <f t="shared" si="7"/>
        <v>-0.16000000014901161</v>
      </c>
      <c r="F27" s="3">
        <f t="shared" si="8"/>
        <v>-7620.8599999998696</v>
      </c>
    </row>
    <row r="28" spans="1:12" x14ac:dyDescent="0.25">
      <c r="A28" s="2">
        <v>43678</v>
      </c>
      <c r="B28" s="3">
        <f>577063.85*2</f>
        <v>1154127.7</v>
      </c>
      <c r="C28" s="3">
        <f>547200.49*2</f>
        <v>1094400.98</v>
      </c>
      <c r="D28" s="3">
        <f>577063.89*2</f>
        <v>1154127.78</v>
      </c>
      <c r="E28" s="3">
        <f t="shared" si="7"/>
        <v>-59726.800000000047</v>
      </c>
      <c r="F28" s="3">
        <f t="shared" si="8"/>
        <v>59726.719999999972</v>
      </c>
    </row>
    <row r="29" spans="1:12" x14ac:dyDescent="0.25">
      <c r="A29" s="2">
        <v>43709</v>
      </c>
      <c r="B29" s="3">
        <f>563047.54*2</f>
        <v>1126095.08</v>
      </c>
      <c r="C29" s="3">
        <f>573710.17*2</f>
        <v>1147420.3400000001</v>
      </c>
      <c r="D29" s="3">
        <f>563047.57*2</f>
        <v>1126095.1399999999</v>
      </c>
      <c r="E29" s="3">
        <f t="shared" si="7"/>
        <v>21325.200000000186</v>
      </c>
      <c r="F29" s="3">
        <f t="shared" si="8"/>
        <v>-21325.260000000009</v>
      </c>
    </row>
    <row r="30" spans="1:12" x14ac:dyDescent="0.25">
      <c r="A30" s="2">
        <v>43739</v>
      </c>
      <c r="B30" s="3">
        <f>670449.3*2</f>
        <v>1340898.6000000001</v>
      </c>
      <c r="C30" s="3">
        <f>670446.2*2</f>
        <v>1340892.3999999999</v>
      </c>
      <c r="D30" s="3">
        <f>670446.34*2</f>
        <v>1340892.68</v>
      </c>
      <c r="E30" s="3">
        <f t="shared" si="7"/>
        <v>-0.28000000002793968</v>
      </c>
      <c r="F30" s="3">
        <f t="shared" si="8"/>
        <v>6.2000000001862645</v>
      </c>
    </row>
    <row r="31" spans="1:12" x14ac:dyDescent="0.25">
      <c r="A31" s="2">
        <v>43770</v>
      </c>
      <c r="B31" s="3">
        <f>672672.27*2</f>
        <v>1345344.54</v>
      </c>
      <c r="C31" s="3">
        <f>672672.31*2</f>
        <v>1345344.62</v>
      </c>
      <c r="D31" s="3">
        <f>672672.07*2</f>
        <v>1345344.14</v>
      </c>
      <c r="E31" s="3">
        <f t="shared" si="7"/>
        <v>0.48000000021420419</v>
      </c>
      <c r="F31" s="3">
        <f t="shared" si="8"/>
        <v>-8.0000000074505806E-2</v>
      </c>
    </row>
    <row r="32" spans="1:12" x14ac:dyDescent="0.25">
      <c r="A32" s="2">
        <v>43800</v>
      </c>
      <c r="B32" s="3">
        <f>761960.3*2</f>
        <v>1523920.6</v>
      </c>
      <c r="C32" s="3">
        <f>761960.3*2</f>
        <v>1523920.6</v>
      </c>
      <c r="D32" s="3">
        <f>761960.3*2</f>
        <v>1523920.6</v>
      </c>
      <c r="E32" s="3">
        <f t="shared" si="7"/>
        <v>0</v>
      </c>
      <c r="F32" s="3">
        <f t="shared" si="8"/>
        <v>0</v>
      </c>
    </row>
    <row r="33" spans="1:6" x14ac:dyDescent="0.25">
      <c r="A33" s="2">
        <v>43831</v>
      </c>
      <c r="B33" s="3">
        <f>868604.38*2</f>
        <v>1737208.76</v>
      </c>
      <c r="C33" s="3">
        <f>1071722.9*2</f>
        <v>2143445.7999999998</v>
      </c>
      <c r="D33" s="3">
        <f>868604.38*2</f>
        <v>1737208.76</v>
      </c>
      <c r="E33" s="3">
        <f t="shared" si="7"/>
        <v>406237.0399999998</v>
      </c>
      <c r="F33" s="3">
        <f t="shared" si="8"/>
        <v>-406237.0399999998</v>
      </c>
    </row>
    <row r="34" spans="1:6" x14ac:dyDescent="0.25">
      <c r="A34" s="2">
        <v>43862</v>
      </c>
      <c r="B34" s="3">
        <f>1006461.3*2</f>
        <v>2012922.6</v>
      </c>
      <c r="C34" s="3">
        <f>1006461.32*2</f>
        <v>2012922.64</v>
      </c>
      <c r="D34" s="3">
        <f>1006461.32*2</f>
        <v>2012922.64</v>
      </c>
      <c r="E34" s="3">
        <f t="shared" si="7"/>
        <v>0</v>
      </c>
      <c r="F34" s="3">
        <f t="shared" si="8"/>
        <v>-3.9999999804422259E-2</v>
      </c>
    </row>
    <row r="35" spans="1:6" ht="15.75" thickBot="1" x14ac:dyDescent="0.3">
      <c r="A35" s="2">
        <v>43891</v>
      </c>
      <c r="B35" s="7">
        <f>688988.93*2</f>
        <v>1377977.86</v>
      </c>
      <c r="C35" s="3">
        <f>689085.08*2</f>
        <v>1378170.16</v>
      </c>
      <c r="D35" s="3">
        <f>689085.08*2</f>
        <v>1378170.16</v>
      </c>
      <c r="E35" s="3">
        <f t="shared" si="7"/>
        <v>0</v>
      </c>
      <c r="F35" s="3">
        <f t="shared" si="8"/>
        <v>-192.29999999981374</v>
      </c>
    </row>
    <row r="36" spans="1:6" ht="15.75" thickBot="1" x14ac:dyDescent="0.3">
      <c r="A36" s="25" t="s">
        <v>12</v>
      </c>
      <c r="B36" s="8">
        <f>SUM(B24:B35)</f>
        <v>15765785.039999997</v>
      </c>
      <c r="C36" s="8">
        <f t="shared" ref="C36:F36" si="9">SUM(C24:C35)</f>
        <v>17029165</v>
      </c>
      <c r="D36" s="21">
        <f t="shared" si="9"/>
        <v>15765737.68</v>
      </c>
      <c r="E36" s="22">
        <f t="shared" si="9"/>
        <v>1263427.3199999998</v>
      </c>
      <c r="F36" s="23">
        <f t="shared" si="9"/>
        <v>-1263379.9599999993</v>
      </c>
    </row>
  </sheetData>
  <mergeCells count="2">
    <mergeCell ref="A5:L5"/>
    <mergeCell ref="A22:F22"/>
  </mergeCells>
  <pageMargins left="0.70866141732283472" right="0.70866141732283472" top="0.74803149606299213" bottom="0.74803149606299213" header="0.31496062992125984" footer="0.31496062992125984"/>
  <pageSetup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C41</dc:creator>
  <cp:lastModifiedBy>C41</cp:lastModifiedBy>
  <cp:lastPrinted>2023-02-03T11:35:11Z</cp:lastPrinted>
  <dcterms:created xsi:type="dcterms:W3CDTF">2023-02-03T11:27:37Z</dcterms:created>
  <dcterms:modified xsi:type="dcterms:W3CDTF">2023-10-23T05:13:42Z</dcterms:modified>
</cp:coreProperties>
</file>