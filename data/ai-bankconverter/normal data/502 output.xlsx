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LIENT DATA SCAN\Vasai Client\Prakash J Lopes (Jigeesha Auto Service)\GST\2026-27\1. APRIL 26\Data\BANK\IMPORTS\"/>
    </mc:Choice>
  </mc:AlternateContent>
  <bookViews>
    <workbookView xWindow="0" yWindow="0" windowWidth="16320" windowHeight="5640" activeTab="1"/>
  </bookViews>
  <sheets>
    <sheet name="Account Info" sheetId="1" r:id="rId1"/>
    <sheet name="Transactions" sheetId="2" r:id="rId2"/>
  </sheets>
  <definedNames>
    <definedName name="_xlnm._FilterDatabase" localSheetId="1" hidden="1">Transactions!$A$1:$F$401</definedName>
  </definedNames>
  <calcPr calcId="152511"/>
</workbook>
</file>

<file path=xl/calcChain.xml><?xml version="1.0" encoding="utf-8"?>
<calcChain xmlns="http://schemas.openxmlformats.org/spreadsheetml/2006/main">
  <c r="D401" i="2" l="1"/>
  <c r="E401" i="2" l="1"/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l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l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</calcChain>
</file>

<file path=xl/sharedStrings.xml><?xml version="1.0" encoding="utf-8"?>
<sst xmlns="http://schemas.openxmlformats.org/spreadsheetml/2006/main" count="482" uniqueCount="482">
  <si>
    <t>BANK OF BARODA - ACCOUNT STATEMENT</t>
  </si>
  <si>
    <t>Bank</t>
  </si>
  <si>
    <t>BANK OF BARODA</t>
  </si>
  <si>
    <t>Branch</t>
  </si>
  <si>
    <t>DIGASHI</t>
  </si>
  <si>
    <t>IFSC Code</t>
  </si>
  <si>
    <t>BARB0DBDIGA</t>
  </si>
  <si>
    <t>MICR Code</t>
  </si>
  <si>
    <t>400012319</t>
  </si>
  <si>
    <t>Account Name</t>
  </si>
  <si>
    <t>M/S. JIGEESHA AUTO SERVICE</t>
  </si>
  <si>
    <t>Account Number</t>
  </si>
  <si>
    <t>98950200001502</t>
  </si>
  <si>
    <t>Account Type</t>
  </si>
  <si>
    <t>bob ADVANTAGE CURRENT ACCOUNT</t>
  </si>
  <si>
    <t>Account Open Date</t>
  </si>
  <si>
    <t>25-09-2023</t>
  </si>
  <si>
    <t>Statement Period</t>
  </si>
  <si>
    <t>01-04-2026 to 30-04-2026</t>
  </si>
  <si>
    <t>Address</t>
  </si>
  <si>
    <t>425 MATRUCHAYA DR P N KIRTANE ROAD BEHIND OLD JAIN MANDIR VIRAR WEST AGASHI</t>
  </si>
  <si>
    <t>City</t>
  </si>
  <si>
    <t>THANE</t>
  </si>
  <si>
    <t>Pin Code</t>
  </si>
  <si>
    <t>401301</t>
  </si>
  <si>
    <t>Nominee</t>
  </si>
  <si>
    <t>MRS CAROLIN PRAKASH LOPES</t>
  </si>
  <si>
    <t>Joint Holders</t>
  </si>
  <si>
    <t>JIGEESHA AUTO SERVICE</t>
  </si>
  <si>
    <t>Statement Date</t>
  </si>
  <si>
    <t>04-05-2026</t>
  </si>
  <si>
    <t>Grand Total Withdrawals (₹)</t>
  </si>
  <si>
    <t>1,81,29,258.19</t>
  </si>
  <si>
    <t>Grand Total Deposits (₹)</t>
  </si>
  <si>
    <t>1,77,68,567.19</t>
  </si>
  <si>
    <t>Closing Balance (₹)</t>
  </si>
  <si>
    <t>2,500.00</t>
  </si>
  <si>
    <t>Date</t>
  </si>
  <si>
    <t>Particulars</t>
  </si>
  <si>
    <t>Cheque No.</t>
  </si>
  <si>
    <t>Withdrawals (₹)</t>
  </si>
  <si>
    <t>Deposits (₹)</t>
  </si>
  <si>
    <t>Balance (₹)</t>
  </si>
  <si>
    <t>IMPS/P2A/609147096215/HONEPELIMITEDPA/F09Hpcljige</t>
  </si>
  <si>
    <t>NEFT-YESAP60912594024-PhonePe Limited</t>
  </si>
  <si>
    <t>UPI/609142627513/04:54:21/UPI/dineshjogle086-5@ok</t>
  </si>
  <si>
    <t>42627513</t>
  </si>
  <si>
    <t>IMPS/P2A/609149979773/ONEMOBIKWIKSYST/IMPSAXB9100</t>
  </si>
  <si>
    <t>UPI/609124374374/11:47:28/UPI/prasadconstruction2</t>
  </si>
  <si>
    <t>24374374</t>
  </si>
  <si>
    <t>EBANK:WIB/1502021829/Edfs</t>
  </si>
  <si>
    <t>NEFT-FBPT260916108327-PREMIER CONVEYORS PRIVATE LI</t>
  </si>
  <si>
    <t>NEFT-CNRBH00121803213-QUALITY PLAST INDUSTRIES LIM</t>
  </si>
  <si>
    <t>UPI/609177961475/16:34:33/UPI/q297956037@ybl/food</t>
  </si>
  <si>
    <t>77961475</t>
  </si>
  <si>
    <t>IMPS/P2A/609116466512/AFZALSIRAJUDDIN/IMPSUOB9191</t>
  </si>
  <si>
    <t>NEFT-KKBKH26091970510-VENKTESHWAR INDUSTRIAL CORPO</t>
  </si>
  <si>
    <t>EBANK:WIB/1502110539/Edfs</t>
  </si>
  <si>
    <t>NEFT-YESAP60924833309-PhonePe Limited</t>
  </si>
  <si>
    <t>NEFT-AXNPN09202196281-PHONEPE LIMITED-PAYMENT AGGR</t>
  </si>
  <si>
    <t>NEFT-AXISCN1298773772-ONE MOBIKWIK SYSTEMS LIMITED</t>
  </si>
  <si>
    <t>IMPS/P2A/609208556385/OMSANITRANSPORT/IMPSUOB9195</t>
  </si>
  <si>
    <t>NEFT-AXISCN1298906804-PINE LABS PRIVATE LIMITED-NO</t>
  </si>
  <si>
    <t>NEFT-AXISCN1299028324-PINE LABS PRIVATE LIMITED-NO</t>
  </si>
  <si>
    <t>UPI/609237830859/11:20:36/UPI/9850754712-3@ybl/st</t>
  </si>
  <si>
    <t>37830859</t>
  </si>
  <si>
    <t>IMPS/P2A/609211135154/SHREE GANESH EN/dieselVVS91</t>
  </si>
  <si>
    <t>NEFT-KKBKH26092777992-VENKTESHWAR INDUSTRIAL CORPO</t>
  </si>
  <si>
    <t>UPI/609201338963/12:38:06/UPI/gpay-11193876450@ok</t>
  </si>
  <si>
    <t>1338963</t>
  </si>
  <si>
    <t>NEFT-NKGSH26092846591-GEBI PRODUCTS PRIVATE LIMITE</t>
  </si>
  <si>
    <t>NEFT-IDIBH09236262399-JAI AMBE TRANSPORT</t>
  </si>
  <si>
    <t>NEFT-HDFCH00905140576-Adekar enterprises pvt ltd</t>
  </si>
  <si>
    <t>NEFT-TDCBH26092001785-V C ENTERPRISES</t>
  </si>
  <si>
    <t>EBANK:WIB/1502234210/Edfs</t>
  </si>
  <si>
    <t>NEFT-HDFCH00906832845-KAVITA ENTERPRISES</t>
  </si>
  <si>
    <t>NEFT-KKBKH26092921670-ATLAS COMMODITIES PRIVATE LI</t>
  </si>
  <si>
    <t>NEFT-YESAP60934071902-PhonePe Limited</t>
  </si>
  <si>
    <t>NEFT-AXNPN09311160907-PHONEPE LIMITED-PAYMENT AGGR</t>
  </si>
  <si>
    <t>NEFT-AXISCN1300289999-ONE MOBIKWIK SYSTEMS LIMITED</t>
  </si>
  <si>
    <t>IMPS/P2A/609308206742/S TRANS 14851/Mh04ju3738I</t>
  </si>
  <si>
    <t>NEFT-AXISCN1300388689-PINE LABS PRIVATE LIMITED-NO</t>
  </si>
  <si>
    <t>IMPS/P2A/609312855509/AFZALSIRAJUDDIN/IMPSUOB9191</t>
  </si>
  <si>
    <t>NEFT-002663976089-GANGAMAI INDUSTRIES AND CONSTR</t>
  </si>
  <si>
    <t>EBANK:WIB/1502413595/Edfs</t>
  </si>
  <si>
    <t>NEFT-YESAP60944128518-PhonePe Limited</t>
  </si>
  <si>
    <t>NEFT-AXNPN09418938602-PHONEPE LIMITED-PAYMENT AGGR</t>
  </si>
  <si>
    <t>NEFT-AXISCN1301100257-ONE MOBIKWIK SYSTEMS LIMITED</t>
  </si>
  <si>
    <t>EBANK:WIB/1502423934/Edfs</t>
  </si>
  <si>
    <t>NEFT-AXISCN1301297166-PINE LABS PRIVATE LIMITED-NO</t>
  </si>
  <si>
    <t>NEFT-HDFCH00909652553-KUNDAN QUARRY</t>
  </si>
  <si>
    <t>UPI/609466190812/12:12:08/UPI/starbazaarhyper@ybl</t>
  </si>
  <si>
    <t>66190812</t>
  </si>
  <si>
    <t>NEFT-KKBKH26094919635-ATLAS COMMODITIES PRIVATE LI</t>
  </si>
  <si>
    <t>IMPS/P2A/609418057716/PRASAD ROADS AN/JigeeshaICI</t>
  </si>
  <si>
    <t>EBANK:WIB/1502545632/Edfs</t>
  </si>
  <si>
    <t>NEFT-HDFCH00911243518-KAVITA ENTERPRISES</t>
  </si>
  <si>
    <t>NEFT-YESAP60953903247-PhonePe Limited</t>
  </si>
  <si>
    <t>NEFT-AXNPN09528140899-PHONEPE LIMITED-PAYMENT AGGR</t>
  </si>
  <si>
    <t>NEFT-AXISCN1301923332-ONE MOBIKWIK SYSTEMS LIMITED</t>
  </si>
  <si>
    <t>EBANK:WIB/1502577386/Edfs</t>
  </si>
  <si>
    <t>IMPS/P2A/609509137308/SHREE GANESH EN/diselVVS910</t>
  </si>
  <si>
    <t>NEFT-AXNPN09635263353-PHONEPE LIMITED-PAYMENT AGGR</t>
  </si>
  <si>
    <t>NEFT-YESAP60964000643-PhonePe Limited</t>
  </si>
  <si>
    <t>NEFT-AXISCN1302642509-ONE MOBIKWIK SYSTEMS LIMITED</t>
  </si>
  <si>
    <t>EBANK:WIB/1502642025/Edfs</t>
  </si>
  <si>
    <t>NEFT-AXISCN1302721272-PINE LABS PRIVATE LIMITED-NO</t>
  </si>
  <si>
    <t>IMPS/P2A/609610439490/AFZALSIRAJUDDIN/IMPSUOB9191</t>
  </si>
  <si>
    <t>NEFT-AXISCN1302925515-PINE LABS PRIVATE LIMITED-NO</t>
  </si>
  <si>
    <t>UPI/832148091426/12:12:00/UPI/7507026281@axl/Paym</t>
  </si>
  <si>
    <t>48091426</t>
  </si>
  <si>
    <t>NEFT-HDFCH00913518284-CORPAK</t>
  </si>
  <si>
    <t>NEFT-NKGSH26096901712-GEBI PRODUCTS PRIVATE LIMITE</t>
  </si>
  <si>
    <t>EBANK:WIB/1502790855/Edfs</t>
  </si>
  <si>
    <t>NEFT-HDFCH00915259780-MOHANJI BHARAT WELFARE FOUND</t>
  </si>
  <si>
    <t>NEFT-YESAP60974165954-PhonePe Limited</t>
  </si>
  <si>
    <t>NEFT-AXNPN09743969962-PHONEPE LIMITED-PAYMENT AGGR</t>
  </si>
  <si>
    <t>EBANK:WIB/1502821939/Edfs</t>
  </si>
  <si>
    <t>UPI/863913776666/06:48:44/UPI/surajdhanotra1@ibl/</t>
  </si>
  <si>
    <t>13776666</t>
  </si>
  <si>
    <t>NEFT-AXISCN1303901852-ONE MOBIKWIK SYSTEMS LIMITED</t>
  </si>
  <si>
    <t>NEFT-AXISCN1303985526-PINE LABS PRIVATE LIMITED-NO</t>
  </si>
  <si>
    <t>Charges for PORD Customer Payment:003566909942</t>
  </si>
  <si>
    <t>NEFT-BARBT26097282981-PETROL DEALERS ASSOCIATION</t>
  </si>
  <si>
    <t>NEFT-HDFCH00916196159-MARK LUBES PRIVATE LIMITED</t>
  </si>
  <si>
    <t>BY CASH</t>
  </si>
  <si>
    <t>BOB DD EXECUTIVE ENG PWD JAWHAR-WADPAL</t>
  </si>
  <si>
    <t>143</t>
  </si>
  <si>
    <t>UPI/646323309409/14:08:53/UPI/gotarne.pratik@axl/</t>
  </si>
  <si>
    <t>23309409</t>
  </si>
  <si>
    <t>NEFT-KKBKH26097664663-ATLAS COMMODITIES PRIVATE LI</t>
  </si>
  <si>
    <t>NEFT-NKGSH26097920270-GEBI PRODUCTS PRIVATE LIMITE</t>
  </si>
  <si>
    <t>NEFT-HDFCH00917822677-SL CORBOX PRIVATE LIMITED</t>
  </si>
  <si>
    <t>EBANK:WIB/1502986421/Edfs</t>
  </si>
  <si>
    <t>NEFT-IN42609750724469-VINAYAK OIL INDUSTRIES</t>
  </si>
  <si>
    <t>NEFT-YESAP60983679319-PhonePe Limited</t>
  </si>
  <si>
    <t>UPI/646491262434/06:48:01/UPI/9822321566@centralb</t>
  </si>
  <si>
    <t>91262434</t>
  </si>
  <si>
    <t>NEFT-AXNPN09852795681-PHONEPE LIMITED-PAYMENT AGGR</t>
  </si>
  <si>
    <t>Chg Cash handling for:30-03-2026</t>
  </si>
  <si>
    <t>NEFT-AXISCN1305078531-ONE MOBIKWIK SYSTEMS LIMITED</t>
  </si>
  <si>
    <t>NEFT-AXISCN1305183876-PINE LABS PRIVATE LIMITED-NO</t>
  </si>
  <si>
    <t>EBANK:WIB/1503050809/Edfs</t>
  </si>
  <si>
    <t>IMPS/P2A/609812907682/OMSANITRANSPORT/Diesel Bill</t>
  </si>
  <si>
    <t>NEFT-NKGSH26098942662-GEBI PRODUCTS PRIVATE LIMITE</t>
  </si>
  <si>
    <t>NEFT-IDIBH09837346562-JAI AMBE TRANSPORT</t>
  </si>
  <si>
    <t>IMPS/P2A/609818576145/SHREE GANESH EN/diselVVS910</t>
  </si>
  <si>
    <t>EBANK:WIB/1503170712/Edfs</t>
  </si>
  <si>
    <t>NEFT-YESAP60993677587-PhonePe Limited</t>
  </si>
  <si>
    <t>NEFT-AXNPN09961131765-PHONEPE LIMITED-PAYMENT AGGR</t>
  </si>
  <si>
    <t>NEFT-AXISCN1306324510-ONE MOBIKWIK SYSTEMS LIMITED</t>
  </si>
  <si>
    <t>NEFT-AXISCN1306426056-PINE LABS PRIVATE LIMITED-NO</t>
  </si>
  <si>
    <t>NEFT-KKBKH26099766302-VENKTESHWAR INDUSTRIAL CORPO</t>
  </si>
  <si>
    <t>NEFT-NKGSH26099959094-GEBI PRODUCTS PRIVATE LIMITE</t>
  </si>
  <si>
    <t>IMPS/P2A/609918190676/VAKAS TEMPO SER/IMPSCNB9199</t>
  </si>
  <si>
    <t>EBANK:WIB/1503311707/Edfs</t>
  </si>
  <si>
    <t>NEFT-HDFCH00925247332-KAVITA ENTERPRISES</t>
  </si>
  <si>
    <t>NEFT-YESAP61002547485-PhonePe Limited</t>
  </si>
  <si>
    <t>NEFT-AXNPN10069579474-PHONEPE LIMITED-PAYMENT AGGR</t>
  </si>
  <si>
    <t>EBANK:WIB/1503339201/Edfs</t>
  </si>
  <si>
    <t>NEFT-AXISCN1307461851-ONE MOBIKWIK SYSTEMS LIMITED</t>
  </si>
  <si>
    <t>UPI/750169399505/08:58:54/UPI/surajdhanotra1@ibl/</t>
  </si>
  <si>
    <t>69399505</t>
  </si>
  <si>
    <t>NEFT-AXISCN1307585087-PINE LABS PRIVATE LIMITED-NO</t>
  </si>
  <si>
    <t>EBANK:WIB/1503385381/Edfs</t>
  </si>
  <si>
    <t>NEFT-NKGSH26100973635-GEBI PRODUCTS PRIVATE LIMITE</t>
  </si>
  <si>
    <t>NEFT-KKBKH26100693248-ATLAS COMMODITIES PRIVATE LI</t>
  </si>
  <si>
    <t>UPI/610034297402/20:16:31/UPI/917348832012@waaxis</t>
  </si>
  <si>
    <t>34297402</t>
  </si>
  <si>
    <t>NEFT-YESAP61011187841-PhonePe Limited</t>
  </si>
  <si>
    <t>IMPS/P2A/610106994638/VILLAGE STONE L/Diesel for</t>
  </si>
  <si>
    <t>NEFT-AXNPN10178417072-PHONEPE LIMITED-PAYMENT AGGR</t>
  </si>
  <si>
    <t>NEFT-AXISCN1308590377-ONE MOBIKWIK SYSTEMS LIMITED</t>
  </si>
  <si>
    <t>NEFT-AXISCN1308614930-PINE LABS PRIVATE LIMITED-NO</t>
  </si>
  <si>
    <t>IMPS/P2A/610111544975/OMSANITRANSPORT/Diesel bill</t>
  </si>
  <si>
    <t>EBANK:1503543462/MSEDCL-LT Post Paid Energy Bill</t>
  </si>
  <si>
    <t>EBANK:1503544838/MSEDCL-LT Post Paid Energy Bill</t>
  </si>
  <si>
    <t>MBK/610120897825/11:36:26/</t>
  </si>
  <si>
    <t>20897825</t>
  </si>
  <si>
    <t>MBK/610120915913/11:38:06/</t>
  </si>
  <si>
    <t>20915913</t>
  </si>
  <si>
    <t>Charges for PORD Customer Payment:003578211236</t>
  </si>
  <si>
    <t>NEFT-BARBS26101208027-K M SATISH-INDUSIND BANK LTD</t>
  </si>
  <si>
    <t>Charges for PORD Customer Payment:003578211551</t>
  </si>
  <si>
    <t>NEFT-BARBS26101208233-AKASH C SHELAR-BASSEIN CATHO</t>
  </si>
  <si>
    <t>Charges for PORD Customer Payment:003578211732</t>
  </si>
  <si>
    <t>NEFT-BARBS26101208696-MOHAMMOD TAUSIF-BASSEIN CATH</t>
  </si>
  <si>
    <t>Charges for PORD Customer Payment:003578213822</t>
  </si>
  <si>
    <t>NEFT-BARBS26101210180-BRIJESH VIPATI KUMAR-BANK OF</t>
  </si>
  <si>
    <t>Charges for PORD Customer Payment:003578219698</t>
  </si>
  <si>
    <t>NEFT-BARBS26101211344-PRAVINKUMAR RAMDHULLAR-BASSE</t>
  </si>
  <si>
    <t>Charges for PORD Customer Payment:003578224246</t>
  </si>
  <si>
    <t>NEFT-BARBS26101225998-GOVIND KUMAR JAISWAL-UNION B</t>
  </si>
  <si>
    <t>Charges for PORD Customer Payment:003578239489</t>
  </si>
  <si>
    <t>NEFT-BARBS26101235271-RAJMANI PP-UNION BANK OF IND</t>
  </si>
  <si>
    <t>Charges for PORD Customer Payment:003578239176</t>
  </si>
  <si>
    <t>NEFT-BARBS26101235444-SHIV PRASAD RAM DHANI-BASSEI</t>
  </si>
  <si>
    <t>EBANK:WIB/1503559058/Edfs</t>
  </si>
  <si>
    <t>NEFT-IN42610154526147-MITA FASTENERS PRIVATE LIMIT</t>
  </si>
  <si>
    <t>UPI/331676217092/17:08:51/UPI/surajdhanotra1@ibl/</t>
  </si>
  <si>
    <t>76217092</t>
  </si>
  <si>
    <t>NEFT-YESAP61023739033-PhonePe Limited</t>
  </si>
  <si>
    <t>NEFT-AXNPN10286711573-PHONEPE LIMITED-PAYMENT AGGR</t>
  </si>
  <si>
    <t>NEFT-AXISCN1309251605-ONE MOBIKWIK SYSTEMS LIMITED</t>
  </si>
  <si>
    <t>IMPS/P2A/610211578843/SHREE GANESH EN/billVVS9100</t>
  </si>
  <si>
    <t>UPI/874123601815/12:37:26/UPI/surajdhanotra1@ibl/</t>
  </si>
  <si>
    <t>23601815</t>
  </si>
  <si>
    <t>UPI/646886727709/16:03:55/UPI/omkarpatil4254op@ok</t>
  </si>
  <si>
    <t>86727709</t>
  </si>
  <si>
    <t>NEFT-CNRBH00124891693-QUALITY PLAST INDUSTRIES LIM</t>
  </si>
  <si>
    <t>EBANK:WIB/1503691094/Edfs</t>
  </si>
  <si>
    <t>NEFT-YESAP61032531277-PhonePe Limited</t>
  </si>
  <si>
    <t>NEFT-AXNPN10394764176-PHONEPE LIMITED-PAYMENT AGGR</t>
  </si>
  <si>
    <t>NEFT-AXISCN1309830112-ONE MOBIKWIK SYSTEMS LIMITED</t>
  </si>
  <si>
    <t>EBANK:1503699072/Hindustan Petroleum/604137022998</t>
  </si>
  <si>
    <t>NEFT-AXISCN1309952222-PINE LABS PRIVATE LIMITED-NO</t>
  </si>
  <si>
    <t>UPI/610324646865/09:30:08/UPI/autofleetpetrolpump</t>
  </si>
  <si>
    <t>24646865</t>
  </si>
  <si>
    <t>UPI/610304951307/09:30:56/UPI/autofleetpetrolpump</t>
  </si>
  <si>
    <t>4951307</t>
  </si>
  <si>
    <t>NEFT-AXODH10395993542-GRISHMA METAL TECHNOLOGY</t>
  </si>
  <si>
    <t>UPI/126536559565/11:02:55/UPI/surajdhanotra1@ibl/</t>
  </si>
  <si>
    <t>36559565</t>
  </si>
  <si>
    <t>UPI/610360329695/11:04:28/UPI/paytmqr6ep7sx@ptys/</t>
  </si>
  <si>
    <t>60329695</t>
  </si>
  <si>
    <t>NEFT-AXISCN1310059428-PINE LABS PRIVATE LIMITED-NO</t>
  </si>
  <si>
    <t>Charges for PORD Customer Payment:003581616879</t>
  </si>
  <si>
    <t>NEFT-BARBV26103046565-ATHARV FIRE AND SAFETY SERVI</t>
  </si>
  <si>
    <t>NEFT-HDFCH00930723327-KUNDAN QUARRY</t>
  </si>
  <si>
    <t>EBANK:WIB/1503777187/Edfs</t>
  </si>
  <si>
    <t>NEFT-HDFCH00930605811-Adekar enterprises pvt ltd</t>
  </si>
  <si>
    <t>NEFT-NKGSH26103010561-GEBI PRODUCTS PRIVATE LIMITE</t>
  </si>
  <si>
    <t>NEFT-IN42610355845941-N R COLOURS LIMITED</t>
  </si>
  <si>
    <t>EBANK:WIB/1503819686/Edfs</t>
  </si>
  <si>
    <t>UPI/610393172546/18:35:56/UPI/q17779140@ybl/color</t>
  </si>
  <si>
    <t>93172546</t>
  </si>
  <si>
    <t>NEFT-IN22610317343563-PELL TECH HEALTH CARE PRIVAT</t>
  </si>
  <si>
    <t>NEFT-HDFCH00932431931-KAVITA ENTERPRISES</t>
  </si>
  <si>
    <t>NEFT-YESAP61042581238-PhonePe Limited</t>
  </si>
  <si>
    <t>NEFT-AXNPN10404023106-PHONEPE LIMITED-PAYMENT AGGR</t>
  </si>
  <si>
    <t>NEFT-AXISCN1310804202-ONE MOBIKWIK SYSTEMS LIMITED</t>
  </si>
  <si>
    <t>EBANK:WIB/1503879023/Edfs</t>
  </si>
  <si>
    <t>EBANK:1503880651/MSEDCL-LT Post Paid Energy Bill</t>
  </si>
  <si>
    <t>NEFT-AXISCN1310872121-PINE LABS PRIVATE LIMITED-NO</t>
  </si>
  <si>
    <t>NEFT-IDIBH10438167138-JAI AMBE TRANSPORT</t>
  </si>
  <si>
    <t>NEFT-KKBKH26104944678-ATLAS COMMODITIES PRIVATE LI</t>
  </si>
  <si>
    <t>EBANK:WIB/1504010401/Edfs</t>
  </si>
  <si>
    <t>NEFT-YESAP61053875611-PhonePe Limited</t>
  </si>
  <si>
    <t>NEFT-AXNPN10512169091-PHONEPE LIMITED-PAYMENT AGGR</t>
  </si>
  <si>
    <t>NEFT-AXISCN1311551702-ONE MOBIKWIK SYSTEMS LIMITED</t>
  </si>
  <si>
    <t>EBANK:WIB/1504019959/Edfs</t>
  </si>
  <si>
    <t>NEFT-AXISCN1311689812-PINE LABS PRIVATE LIMITED-NO</t>
  </si>
  <si>
    <t>Dep-NEFT-IN42610556923441-JERAI FITNESS LIMITED</t>
  </si>
  <si>
    <t>NEFT-KKBKH26105643449-VENKTESHWAR INDUSTRIAL CORPO</t>
  </si>
  <si>
    <t>NEFT-IN42610557031748-MITA FASTENERS PRIVATE LIMIT</t>
  </si>
  <si>
    <t>NEFT-HDFCH00934703842-QUEST ENTERPRISES PVT LTD</t>
  </si>
  <si>
    <t>EBANK:WIB/1504096201/Edfs</t>
  </si>
  <si>
    <t>NEFT-NKGSH26105037900-GEBI PRODUCTS PRIVATE LIMITE</t>
  </si>
  <si>
    <t>UPI/513389067648/17:04:34/UPI/surajdhanotra1@ibl/</t>
  </si>
  <si>
    <t>89067648</t>
  </si>
  <si>
    <t>EBANK:WIB/1504156827/Edfs</t>
  </si>
  <si>
    <t>IMPS/P2A/610519636341/VAKAS TEMPO SER/IMPSCNB9199</t>
  </si>
  <si>
    <t>IMPS/P2A/610519636774/VAKAS TEMPO SER/IMPSCNB9199</t>
  </si>
  <si>
    <t>EBANK:WIB/1504160264/Edfs</t>
  </si>
  <si>
    <t>NEFT-IN42610557385883-VINAYAK OIL INDUSTRIES</t>
  </si>
  <si>
    <t>EBANK:WIB/1504165308/Edfs</t>
  </si>
  <si>
    <t>NEFT-YESAP61062741163-PhonePe Limited</t>
  </si>
  <si>
    <t>NEFT-AXNPN10621015464-PHONEPE LIMITED-PAYMENT AGGR</t>
  </si>
  <si>
    <t>NEFT-AXISCN1312951656-ONE MOBIKWIK SYSTEMS LIMITED</t>
  </si>
  <si>
    <t>NEFT-AXISCN1312996692-PINE LABS PRIVATE LIMITED-NO</t>
  </si>
  <si>
    <t>IMPS/P2A/610649287711/KAVITA ENTERPRI/Diesel paym</t>
  </si>
  <si>
    <t>RTGS-UBINR22026041601283543-SAPNA BUILDING MATERIA</t>
  </si>
  <si>
    <t>NEFT-NKGSH26106053406-GEBI PRODUCTS PRIVATE LIMITE</t>
  </si>
  <si>
    <t>IMPS/P2A/610615582026/SHREE GANESH EN/dieselVVS91</t>
  </si>
  <si>
    <t>EBANK:WIB/1504268202/Edfs</t>
  </si>
  <si>
    <t>NEFT-HDFCH00937546897-KUNDAN QUARRY</t>
  </si>
  <si>
    <t>NEFT-YESAP61072570192-PhonePe Limited</t>
  </si>
  <si>
    <t>NEFT-AXNPN10729450166-PHONEPE LIMITED-PAYMENT AGGR</t>
  </si>
  <si>
    <t>EBANK:WIB/1504347697/Edfs</t>
  </si>
  <si>
    <t>NEFT-AXISCN1314090244-ONE MOBIKWIK SYSTEMS LIMITED</t>
  </si>
  <si>
    <t>NEFT-AXISCN1314172091-PINE LABS PRIVATE LIMITED-NO</t>
  </si>
  <si>
    <t>IMPS/P2A/610752978132/SAYEDTAHIRUDDIN/IMPS P2A JI</t>
  </si>
  <si>
    <t>IMPS/P2A/610709672459/OMSANITRANSPORT/Diesel Bill</t>
  </si>
  <si>
    <t>EBANK:WIB/1504424773/Edfs</t>
  </si>
  <si>
    <t>DIGITA-MUMBAI/BOBID:1503699072</t>
  </si>
  <si>
    <t>NEFT-HDFCH00940845785-SUDHIR SWITCHGEARS PVT LTD</t>
  </si>
  <si>
    <t>NEFT-YESAP61082703898-PhonePe Limited</t>
  </si>
  <si>
    <t>NEFT-AXNPN10838004592-PHONEPE LIMITED-PAYMENT AGGR</t>
  </si>
  <si>
    <t>NEFT-AXISCN1315312388-ONE MOBIKWIK SYSTEMS LIMITED</t>
  </si>
  <si>
    <t>NEFT-AXISCN1315357169-PINE LABS PRIVATE LIMITED-NO</t>
  </si>
  <si>
    <t>UPI/121778204946/11:06:59/UPI/sureshenterprises15</t>
  </si>
  <si>
    <t>78204946</t>
  </si>
  <si>
    <t>NEFT-IN42610859044614-SMITA STEELS ROLLING MILLS P</t>
  </si>
  <si>
    <t>NEFT-FBPT261087153653-PREMIER CONVEYORS PRIVATE LI</t>
  </si>
  <si>
    <t>EBANK:WIB/1504650433/Edfs</t>
  </si>
  <si>
    <t>NEFT-AXNPN10949045747-PHONEPE LIMITED-PAYMENT AGGR</t>
  </si>
  <si>
    <t>NEFT-YESAP61090338379-PhonePe Limited</t>
  </si>
  <si>
    <t>NEFT-AXISCN1317988876-ONE MOBIKWIK SYSTEMS LIMITED</t>
  </si>
  <si>
    <t>EBANK:WIB/1504657570/Edfs</t>
  </si>
  <si>
    <t>IMPS/P2A/610908016980/VILLAGE STONE L/Diesel paym</t>
  </si>
  <si>
    <t>SMS Charges for MAR 26</t>
  </si>
  <si>
    <t>IMPS/P2A/610911584011/SHREE GANESH EN/diesel VVS9</t>
  </si>
  <si>
    <t>UPI/400279322988/11:44:31/UPI/surajdhanotra1@ibl/</t>
  </si>
  <si>
    <t>79322988</t>
  </si>
  <si>
    <t>UPI/610947658049/18:07:36/UPI/akashshelar41-2@oki</t>
  </si>
  <si>
    <t>47658049</t>
  </si>
  <si>
    <t>UPI/785838310405/18:17:34/UPI/slaksmanaswamy@ybl/</t>
  </si>
  <si>
    <t>38310405</t>
  </si>
  <si>
    <t>EBANK:WIB/1504707135/Edfs</t>
  </si>
  <si>
    <t>NEFT-YESAP61103651332-PhonePe Limited</t>
  </si>
  <si>
    <t>NEFT-AXNPN11057011051-PHONEPE LIMITED-PAYMENT AGGR</t>
  </si>
  <si>
    <t>EBANK:WIB/1504717278/Edfs</t>
  </si>
  <si>
    <t>IMPS/P2A/611008018806/VILLAGE STONE L/Diesel paym</t>
  </si>
  <si>
    <t>NEFT-AXISCN1318671183-PINE LABS PRIVATE LIMITED-NO</t>
  </si>
  <si>
    <t>NEFT-AXISCN1318760388-PINE LABS PRIVATE LIMITED-NO</t>
  </si>
  <si>
    <t>NEFT-NKGSH26110097618-GEBI PRODUCTS PRIVATE LIMITE</t>
  </si>
  <si>
    <t>UPI/647682007940/13:39:58/UPI/patilsojwal855@okax</t>
  </si>
  <si>
    <t>82007940</t>
  </si>
  <si>
    <t>UPI/647667906419/13:40:55/UPI/patilsojwal855@okax</t>
  </si>
  <si>
    <t>67906419</t>
  </si>
  <si>
    <t>NEFT-IDIBH11038876490-JAI AMBE TRANSPORT</t>
  </si>
  <si>
    <t>NEFT-KKBKH26110838388-ATLAS COMMODITIES PRIVATE LI</t>
  </si>
  <si>
    <t>NEFT-IN42611050112752-JERAI FITNESS LIMITED</t>
  </si>
  <si>
    <t>EBANK:WIB/1504868004/Edfs</t>
  </si>
  <si>
    <t>UPI/647607766718/23:35:11/UPI/sureshenterprises15</t>
  </si>
  <si>
    <t>7766718</t>
  </si>
  <si>
    <t>NEFT-YESAP61112557088-PhonePe Limited</t>
  </si>
  <si>
    <t>Dep-NEFT-AXNPN11165247615-PHONEPE LIMITED-PAYMENT</t>
  </si>
  <si>
    <t>EBANK:WIB/1504892301/Edfs</t>
  </si>
  <si>
    <t>NEFT-AXISCN1319524277-ONE MOBIKWIK SYSTEMS LIMITED</t>
  </si>
  <si>
    <t>NEFT-AXISCN1319563932-PINE LABS PRIVATE LIMITED-NO</t>
  </si>
  <si>
    <t>NEFT-HDFCH00946369304-MOHANJI BHARAT WELFARE FOUND</t>
  </si>
  <si>
    <t>NEFT-IN42611150344998-ABC PETROCHEM PRIVATE LIMITE</t>
  </si>
  <si>
    <t>NEFT-NKGSH26111112804-GEBI PRODUCTS PRIVATE LIMITE</t>
  </si>
  <si>
    <t>UPI/121944950796/16:42:07/UPI/paytmqr6fbyta@ptys/</t>
  </si>
  <si>
    <t>44950796</t>
  </si>
  <si>
    <t>NEFT-BACBH00004188066-VILLAGE STONE LLP</t>
  </si>
  <si>
    <t>EBANK:WIB/1505043394/Edfs</t>
  </si>
  <si>
    <t>NEFT-HDFCH00948007276-QUEST ENTERPRISES PVT LTD</t>
  </si>
  <si>
    <t>NEFT-YESAP61123591632-PhonePe Limited</t>
  </si>
  <si>
    <t>NEFT-AXNPN11273516230-PHONEPE LIMITED-PAYMENT AGGR</t>
  </si>
  <si>
    <t>NEFT-AXISCN1320689816-ONE MOBIKWIK SYSTEMS LIMITED</t>
  </si>
  <si>
    <t>EBANK:WIB/1505048812/Edfs</t>
  </si>
  <si>
    <t>IMPS/P2A/611209124412/VAKAS TEMPO SER/IMPSCNB9199</t>
  </si>
  <si>
    <t>NEFT-AXISCN1320801214-PINE LABS PRIVATE LIMITED-NO</t>
  </si>
  <si>
    <t>IMPS/P2A/611210623841/OMSANITRANSPORT/Diesel Bill</t>
  </si>
  <si>
    <t>NEFT-CNRBH00126857051-M S COLLEGE OF PHARMACY</t>
  </si>
  <si>
    <t>NEFT-NKGSH26112125723-GEBI PRODUCTS PRIVATE LIMITE</t>
  </si>
  <si>
    <t>NEFT-IN42611251127313-MITA FASTENERS PRIVATE LIMIT</t>
  </si>
  <si>
    <t>IMPS/P2A/611218586331/SHREE GANESH EN/diselVVS910</t>
  </si>
  <si>
    <t>NEFT-IN42611251256831-VINAYAK OIL INDUSTRIES</t>
  </si>
  <si>
    <t>EBANK:WIB/1505171210/Edfs</t>
  </si>
  <si>
    <t>UPI/611299087582/21:53:49/UPI/patildivya1511-1@ok</t>
  </si>
  <si>
    <t>99087582</t>
  </si>
  <si>
    <t>EBANK:WIB/1505187993/Edfs</t>
  </si>
  <si>
    <t>NEFT-YESAP61133866852-PhonePe Limited</t>
  </si>
  <si>
    <t>EBANK:WIB/1505193929/Edfs</t>
  </si>
  <si>
    <t>NEFT-AXNPN11382060759-PHONEPE LIMITED-PAYMENT AGGR</t>
  </si>
  <si>
    <t>EBANK:WIB/1505194002/Edfs</t>
  </si>
  <si>
    <t>NEFT-AXISCN1321967431-ONE MOBIKWIK SYSTEMS LIMITED</t>
  </si>
  <si>
    <t>NEFT-AXISCN1322079433-PINE LABS PRIVATE LIMITED-NO</t>
  </si>
  <si>
    <t>NEFT-BACBH00004190643-APEX MINING CO</t>
  </si>
  <si>
    <t>EBANK:WIB/1505205959/Edfs</t>
  </si>
  <si>
    <t>Charges for PORD Customer Payment:003606420745</t>
  </si>
  <si>
    <t>NEFT-BARBV26113832164-RAMZAN HASNANI-CENTRAL BANK</t>
  </si>
  <si>
    <t>NEFT-AXODH11383366299-GRISHMA METAL TECHNOLOGY</t>
  </si>
  <si>
    <t>NEFT-IN42611351480279-PRANJ METAL INDUSTRIES</t>
  </si>
  <si>
    <t>NEFT-KKBKH26113992510-ATLAS COMMODITIES PRIVATE LI</t>
  </si>
  <si>
    <t>NEFT-NKGSH26113138754-GEBI PRODUCTS PRIVATE LIMITE</t>
  </si>
  <si>
    <t>NEFT-SBIN526113837551-WELLSUN TEXCHEM</t>
  </si>
  <si>
    <t>NEFT-JAKAH26113006414-NIKIVIK TUBE INDUSTRIES P LT</t>
  </si>
  <si>
    <t>EBANK:WIB/1505315722/Edfs</t>
  </si>
  <si>
    <t>NEFT-YESAP61143829163-PhonePe Limited</t>
  </si>
  <si>
    <t>NEFT-AXNPN11490153195-PHONEPE LIMITED-PAYMENT AGGR</t>
  </si>
  <si>
    <t>NEFT-AXISCN1322890868-ONE MOBIKWIK SYSTEMS LIMITED</t>
  </si>
  <si>
    <t>NEFT-AXISCN1322996900-PINE LABS PRIVATE LIMITED-NO</t>
  </si>
  <si>
    <t>EBANK:WIB/1505337172/Edfs</t>
  </si>
  <si>
    <t>NEFT-NKGSH26114148361-GEBI PRODUCTS PRIVATE LIMITE</t>
  </si>
  <si>
    <t>NEFT-IN42611452122935-N R COLOURS LIMITED</t>
  </si>
  <si>
    <t>NEFT-IDIBH11439372913-JAI AMBE TRANSPORT</t>
  </si>
  <si>
    <t>EBANK:1505440385/icicibank/114463157029/AVENUES I</t>
  </si>
  <si>
    <t>NEFT-IN22611428762276-PELL TECH HEALTH CARE PRIVAT</t>
  </si>
  <si>
    <t>UPI/842958914051/18:57:56/UPI/9423374100@ybl/Paym</t>
  </si>
  <si>
    <t>58914051</t>
  </si>
  <si>
    <t>EBANK:WIB/1505452714/Edfs</t>
  </si>
  <si>
    <t>NEFT-YESAP61152331743-PhonePe Limited</t>
  </si>
  <si>
    <t>EBANK:WIB/1505471306/Edfs</t>
  </si>
  <si>
    <t>NEFT-AXNPN11598935300-PHONEPE LIMITED-PAYMENT AGGR</t>
  </si>
  <si>
    <t>EBANK:WIB/1505471386/Edfs</t>
  </si>
  <si>
    <t>NEFT-AXISCN1323965473-ONE MOBIKWIK SYSTEMS LIMITED</t>
  </si>
  <si>
    <t>NEFT-AXISCN1324050087-PINE LABS PRIVATE LIMITED-NO</t>
  </si>
  <si>
    <t>Charges for PORD Customer Payment:003610812913</t>
  </si>
  <si>
    <t>NEFT-BARBZ26115868320-E COLLECTION RETAIL SBU HDFC</t>
  </si>
  <si>
    <t>IMPS/P2A/611512825992/ENKTESHWAR INDU/KKBKTransfe</t>
  </si>
  <si>
    <t>IMPS/P2A/611513033420/VILLAGE STONE L/Diesel paym</t>
  </si>
  <si>
    <t>NEFT-KKBKH26115923099-ATLAS COMMODITIES PRIVATE LI</t>
  </si>
  <si>
    <t>IMPS/P2A/611516467183/MUKESH OIL CORP/IMPS transa</t>
  </si>
  <si>
    <t>IMPS/P2A/611516181925/S TRANS 14851/Mh04ju3738I</t>
  </si>
  <si>
    <t>EBANK:WIB/1505585919/Edfs</t>
  </si>
  <si>
    <t>NEFT-YESAP61163896825-PhonePe Limited</t>
  </si>
  <si>
    <t>NEFT-AXNPN11607066053-PHONEPE LIMITED-PAYMENT AGGR</t>
  </si>
  <si>
    <t>NEFT-AXISCN1324632883-ONE MOBIKWIK SYSTEMS LIMITED</t>
  </si>
  <si>
    <t>EBANK:WIB/1505590344/Edfs</t>
  </si>
  <si>
    <t>IMPS/P2A/611609588661/SHREE GANESH EN/billVVS9100</t>
  </si>
  <si>
    <t>NEFT-HDFCH00955439283-MARK LUBES PRIVATE LIMITED</t>
  </si>
  <si>
    <t>EBANK:WIB/1505633295/Edfs</t>
  </si>
  <si>
    <t>NEFT-YESAP61174218113-PhonePe Limited</t>
  </si>
  <si>
    <t>NEFT-AXNPN11714754008-PHONEPE LIMITED-PAYMENT AGGR</t>
  </si>
  <si>
    <t>NEFT-AXISCN1325294472-ONE MOBIKWIK SYSTEMS LIMITED</t>
  </si>
  <si>
    <t>NEFT-AXISCN1325402930-PINE LABS PRIVATE LIMITED-NO</t>
  </si>
  <si>
    <t>NEFT-AXISCN1325456778-PINE LABS PRIVATE LIMITED-NO</t>
  </si>
  <si>
    <t>EBANK:WIB/1505672686/Edfs</t>
  </si>
  <si>
    <t>FORTAP-MUMBAI/EBANK:WIB/1505676092/</t>
  </si>
  <si>
    <t>UPI/611704200667/14:46:49/UPI/harad9480-3@okicici</t>
  </si>
  <si>
    <t>4200667</t>
  </si>
  <si>
    <t>UPI/611745882969/14:47:57/UPI/harad9480-3@okaxis/</t>
  </si>
  <si>
    <t>45882969</t>
  </si>
  <si>
    <t>NEFT-HDFCH00956609022-SL CORBOX PRIVATE LIMITED</t>
  </si>
  <si>
    <t>NEFT-BACBH00004205594-GAONDEVI BUILDING MATERIAL S</t>
  </si>
  <si>
    <t>NEFT-NKGSH26117174974-GEBI PRODUCTS PRIVATE LIMITE</t>
  </si>
  <si>
    <t>NEFT-TDCBH26117000588-V C ENTERPRISES</t>
  </si>
  <si>
    <t>EBANK:WIB/1505752441/Edfs</t>
  </si>
  <si>
    <t>NEFT-HDFCH00957371480-PETROINOX PIPES TUBES PVT</t>
  </si>
  <si>
    <t>NEFT-YESAP61183745951-PhonePe Limited</t>
  </si>
  <si>
    <t>NEFT-AXNPN11823277068-PHONEPE LIMITED-PAYMENT AGGR</t>
  </si>
  <si>
    <t>NEFT-AXISCN1326481885-PINE LABS PRIVATE LIMITED-NO</t>
  </si>
  <si>
    <t>NEFT-002710581295-OM SANI TRANSPORT SERVICE</t>
  </si>
  <si>
    <t>UPI/611869840157/10:49:20/UPI/akashshelar41-2@oki</t>
  </si>
  <si>
    <t>69840157</t>
  </si>
  <si>
    <t>IMPS/P2A/611855252288/SAYEDTAHIRUDDIN/IMPS P2A JI</t>
  </si>
  <si>
    <t>IMPS/P2A/611855252655/SAYEDTAHIRUDDIN/IMPS P2A JI</t>
  </si>
  <si>
    <t>NEFT-IDIBH11839674549-JAI AMBE TRANSPORT</t>
  </si>
  <si>
    <t>IMPS/P2A/611812542007/VAKAS TEMPO SER/IMPSCNB9199</t>
  </si>
  <si>
    <t>NEFT-NKGSH26118186705-GEBI PRODUCTS PRIVATE LIMITE</t>
  </si>
  <si>
    <t>EBANK:WIB/1505883831/Edfs</t>
  </si>
  <si>
    <t>NEFT-KKBKH26118959856-ATLAS COMMODITIES PRIVATE LI</t>
  </si>
  <si>
    <t>IMPS/P2A/611853985863/KAVITA ENTERPRI/Diesel paym</t>
  </si>
  <si>
    <t>IMPS/P2A/611819590384/SHREE GANESH EN/diselVVS910</t>
  </si>
  <si>
    <t>IMPS/P2A/611820590404/SHREE GANESH EN/d billVVS91</t>
  </si>
  <si>
    <t>EBANK:WIB/1505948506/Edfs</t>
  </si>
  <si>
    <t>NEFT-YESAP61192379931-PhonePe Limited</t>
  </si>
  <si>
    <t>NEFT-AXNPN11931554437-PHONEPE LIMITED-PAYMENT AGGR</t>
  </si>
  <si>
    <t>NEFT-AXISCN1327518007-ONE MOBIKWIK SYSTEMS LIMITED</t>
  </si>
  <si>
    <t>EBANK:WIB/1505959390/Edfs</t>
  </si>
  <si>
    <t>NEFT-AXISCN1327725971-PINE LABS PRIVATE LIMITED-NO</t>
  </si>
  <si>
    <t>EBANK:WIB/1505997293/Edfs</t>
  </si>
  <si>
    <t>UPI/648598146908/13:51:58/UPI/akashshelar41-2@oki</t>
  </si>
  <si>
    <t>98146908</t>
  </si>
  <si>
    <t>NEFT-IN42611955128051-N R COLOURS LIMITED</t>
  </si>
  <si>
    <t>IMPS/P2A/611916141538/S TRANS 14851/Mh04ju3738I</t>
  </si>
  <si>
    <t>NEFT-NKGSH26119201393-GEBI PRODUCTS PRIVATE LIMITE</t>
  </si>
  <si>
    <t>NEFT-HDFCH00961650004-SL CORBOX PRIVATE LIMITED</t>
  </si>
  <si>
    <t>NEFT-HDFCH00961665348-CORPAK</t>
  </si>
  <si>
    <t>EBANK:WIB/1506085309/Edfs</t>
  </si>
  <si>
    <t>IMPS/P2A/611920044748/VILLAGE STONE L/Diesel paym</t>
  </si>
  <si>
    <t>NEFT-IN42611955380476-VINAYAK OIL INDUSTRIES</t>
  </si>
  <si>
    <t>EBANK:WIB/1506102762/Edfs</t>
  </si>
  <si>
    <t>IMPS/P2A/611922088049/OMSANITRANSPORT/Diesel Bill</t>
  </si>
  <si>
    <t>EBANK:WIB/1506112730/Edfs</t>
  </si>
  <si>
    <t>NEFT-YESAP61203718924-PhonePe Limited</t>
  </si>
  <si>
    <t>NEFT-AXISCN1328726065-ONE MOBIKWIK SYSTEMS LIMITED</t>
  </si>
  <si>
    <t>NEFT-AXNPN12039810952-PHONEPE LIMITED-PAYMENT AGGR</t>
  </si>
  <si>
    <t>EBANK:WIB/1506112904/Edfs</t>
  </si>
  <si>
    <t>IMPS/P2A/612006415602/XXXXXXXXXXR111/forload</t>
  </si>
  <si>
    <t>CHARGES FOR:IMPS/P2A/612006415602/XXXXXXXX</t>
  </si>
  <si>
    <t>UPI/122359322927/08:14:36/UPI/shivprasad750758984</t>
  </si>
  <si>
    <t>59322927</t>
  </si>
  <si>
    <t>NEFT-AXISCN1328873702-PINE LABS PRIVATE LIMITED-NO</t>
  </si>
  <si>
    <t>NEFT-HDFCH00963002372-KUNDAN QUARRY</t>
  </si>
  <si>
    <t>NEFT-IN22612032699708-PELL TECH HEALTH CARE PRIVAT</t>
  </si>
  <si>
    <t>NEFT-HDFCH00963252757-QUEST ENTERPRISES PVT LTD</t>
  </si>
  <si>
    <t>NEFT-HDFCH00963611742-Adekar enterprises pvt ltd</t>
  </si>
  <si>
    <t>NEFT-NKGSH26120214998-GEBI PRODUCTS PRIVATE LIMITE</t>
  </si>
  <si>
    <t>EBANK:WIB/1506237357/Edfs</t>
  </si>
  <si>
    <t>NEFT-IN42612056111225-JERAI FITNESS LIMITED</t>
  </si>
  <si>
    <t>IMPS/P2A/612019376760/XXXXXXXXXXR111/load</t>
  </si>
  <si>
    <t>CHARGES FOR:IMPS/P2A/612019376760/XXXXXXXX</t>
  </si>
  <si>
    <t>IMPS/P2A/612022880582/XXXXXXXXXXR111/load</t>
  </si>
  <si>
    <t>CHARGES FOR:IMPS/P2A/612022880582/XXXXXXXX</t>
  </si>
  <si>
    <t>EBANK:WIB/1506303993/Edfs</t>
  </si>
  <si>
    <t>GRAND TOTAL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</si>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</sst>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9"/>
      <color rgb="FF003366"/>
      <name val="Arial"/>
      <family val="2"/>
    </font>
    <font>
      <sz val="9"/>
      <color rgb="FF006400"/>
      <name val="Arial"/>
      <family val="2"/>
    </font>
    <font>
      <sz val="9"/>
      <color rgb="FFC00000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1F2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1"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/>
    <xf numFmtId="0" fontId="0" fillId="0" borderId="1" xfId="0" applyBorder="1" applyAlignment="1"/>
    <xf numFmtId="4" fontId="6" fillId="4" borderId="1" xfId="0" applyNumberFormat="1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43" fontId="4" fillId="2" borderId="0" xfId="1" applyFont="1" applyFill="1" applyAlignment="1">
      <alignment horizontal="center" vertical="center" wrapText="1"/>
    </xf>
    <xf numFmtId="43" fontId="5" fillId="4" borderId="1" xfId="1" applyFont="1" applyFill="1" applyBorder="1" applyAlignment="1">
      <alignment vertical="center"/>
    </xf>
    <xf numFmtId="43" fontId="5" fillId="5" borderId="1" xfId="1" applyFont="1" applyFill="1" applyBorder="1" applyAlignment="1">
      <alignment vertical="center"/>
    </xf>
    <xf numFmtId="43" fontId="10" fillId="6" borderId="1" xfId="1" applyFont="1" applyFill="1" applyBorder="1" applyAlignment="1">
      <alignment horizontal="right"/>
    </xf>
    <xf numFmtId="43" fontId="0" fillId="0" borderId="0" xfId="1" applyFont="1"/>
    <xf numFmtId="0" fontId="8" fillId="5" borderId="1" xfId="1" applyNumberFormat="1" applyFont="1" applyFill="1" applyBorder="1" applyAlignment="1">
      <alignment horizontal="right" vertical="center"/>
    </xf>
    <xf numFmtId="4" fontId="8" fillId="5" borderId="1" xfId="1" applyNumberFormat="1" applyFont="1" applyFill="1" applyBorder="1" applyAlignment="1">
      <alignment horizontal="right" vertical="center"/>
    </xf>
    <xf numFmtId="0" fontId="8" fillId="4" borderId="1" xfId="1" applyNumberFormat="1" applyFont="1" applyFill="1" applyBorder="1" applyAlignment="1">
      <alignment horizontal="right" vertical="center"/>
    </xf>
    <xf numFmtId="4" fontId="8" fillId="4" borderId="1" xfId="1" applyNumberFormat="1" applyFont="1" applyFill="1" applyBorder="1" applyAlignment="1">
      <alignment horizontal="right" vertical="center"/>
    </xf>
    <xf numFmtId="0" fontId="7" fillId="5" borderId="1" xfId="1" applyNumberFormat="1" applyFont="1" applyFill="1" applyBorder="1" applyAlignment="1">
      <alignment horizontal="right" vertical="center"/>
    </xf>
    <xf numFmtId="4" fontId="7" fillId="5" borderId="1" xfId="1" applyNumberFormat="1" applyFont="1" applyFill="1" applyBorder="1" applyAlignment="1">
      <alignment horizontal="right" vertical="center"/>
    </xf>
    <xf numFmtId="0" fontId="7" fillId="4" borderId="1" xfId="1" applyNumberFormat="1" applyFont="1" applyFill="1" applyBorder="1" applyAlignment="1">
      <alignment horizontal="right" vertical="center"/>
    </xf>
    <xf numFmtId="4" fontId="7" fillId="4" borderId="1" xfId="1" applyNumberFormat="1" applyFont="1" applyFill="1" applyBorder="1" applyAlignment="1">
      <alignment horizontal="right" vertical="center"/>
    </xf>
    <xf numFmtId="44" fontId="8" fillId="5" borderId="1" xfId="1" applyNumberFormat="1" applyFont="1" applyFill="1" applyBorder="1" applyAlignment="1">
      <alignment horizontal="right" vertical="center"/>
    </xf>
    <xf numFmtId="44" fontId="8" fillId="4" borderId="1" xfId="1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10" workbookViewId="0">
      <selection sqref="A1:B1"/>
    </sheetView>
  </sheetViews>
  <sheetFormatPr defaultRowHeight="15" x14ac:dyDescent="0.25"/>
  <cols>
    <col min="1" max="1" width="30" customWidth="1"/>
    <col min="2" max="2" width="60" customWidth="1"/>
  </cols>
  <sheetData>
    <row r="1" spans="1:2" ht="28.15" customHeight="1" x14ac:dyDescent="0.25">
      <c r="A1" s="29" t="s">
        <v>0</v>
      </c>
      <c r="B1" s="30"/>
    </row>
    <row r="2" spans="1:2" ht="16.149999999999999" customHeight="1" x14ac:dyDescent="0.25">
      <c r="A2" s="1" t="s">
        <v>1</v>
      </c>
      <c r="B2" s="2" t="s">
        <v>2</v>
      </c>
    </row>
    <row r="3" spans="1:2" ht="16.149999999999999" customHeight="1" x14ac:dyDescent="0.25">
      <c r="A3" s="1" t="s">
        <v>3</v>
      </c>
      <c r="B3" s="2" t="s">
        <v>4</v>
      </c>
    </row>
    <row r="4" spans="1:2" ht="16.149999999999999" customHeight="1" x14ac:dyDescent="0.25">
      <c r="A4" s="1" t="s">
        <v>5</v>
      </c>
      <c r="B4" s="2" t="s">
        <v>6</v>
      </c>
    </row>
    <row r="5" spans="1:2" ht="16.149999999999999" customHeight="1" x14ac:dyDescent="0.25">
      <c r="A5" s="1" t="s">
        <v>7</v>
      </c>
      <c r="B5" s="2" t="s">
        <v>8</v>
      </c>
    </row>
    <row r="6" spans="1:2" ht="16.149999999999999" customHeight="1" x14ac:dyDescent="0.25">
      <c r="A6" s="1" t="s">
        <v>9</v>
      </c>
      <c r="B6" s="2" t="s">
        <v>10</v>
      </c>
    </row>
    <row r="7" spans="1:2" ht="16.149999999999999" customHeight="1" x14ac:dyDescent="0.25">
      <c r="A7" s="1" t="s">
        <v>11</v>
      </c>
      <c r="B7" s="2" t="s">
        <v>12</v>
      </c>
    </row>
    <row r="8" spans="1:2" ht="16.149999999999999" customHeight="1" x14ac:dyDescent="0.25">
      <c r="A8" s="1" t="s">
        <v>13</v>
      </c>
      <c r="B8" s="2" t="s">
        <v>14</v>
      </c>
    </row>
    <row r="9" spans="1:2" ht="16.149999999999999" customHeight="1" x14ac:dyDescent="0.25">
      <c r="A9" s="1" t="s">
        <v>15</v>
      </c>
      <c r="B9" s="2" t="s">
        <v>16</v>
      </c>
    </row>
    <row r="10" spans="1:2" ht="16.149999999999999" customHeight="1" x14ac:dyDescent="0.25">
      <c r="A10" s="1" t="s">
        <v>17</v>
      </c>
      <c r="B10" s="2" t="s">
        <v>18</v>
      </c>
    </row>
    <row r="11" spans="1:2" ht="16.149999999999999" customHeight="1" x14ac:dyDescent="0.25">
      <c r="A11" s="1" t="s">
        <v>19</v>
      </c>
      <c r="B11" s="2" t="s">
        <v>20</v>
      </c>
    </row>
    <row r="12" spans="1:2" ht="16.149999999999999" customHeight="1" x14ac:dyDescent="0.25">
      <c r="A12" s="1" t="s">
        <v>21</v>
      </c>
      <c r="B12" s="2" t="s">
        <v>22</v>
      </c>
    </row>
    <row r="13" spans="1:2" ht="16.149999999999999" customHeight="1" x14ac:dyDescent="0.25">
      <c r="A13" s="1" t="s">
        <v>23</v>
      </c>
      <c r="B13" s="2" t="s">
        <v>24</v>
      </c>
    </row>
    <row r="14" spans="1:2" ht="16.149999999999999" customHeight="1" x14ac:dyDescent="0.25">
      <c r="A14" s="1" t="s">
        <v>25</v>
      </c>
      <c r="B14" s="2" t="s">
        <v>26</v>
      </c>
    </row>
    <row r="15" spans="1:2" ht="16.149999999999999" customHeight="1" x14ac:dyDescent="0.25">
      <c r="A15" s="1" t="s">
        <v>27</v>
      </c>
      <c r="B15" s="2" t="s">
        <v>28</v>
      </c>
    </row>
    <row r="16" spans="1:2" ht="16.149999999999999" customHeight="1" x14ac:dyDescent="0.25">
      <c r="A16" s="1" t="s">
        <v>29</v>
      </c>
      <c r="B16" s="2" t="s">
        <v>30</v>
      </c>
    </row>
    <row r="17" spans="1:2" ht="16.149999999999999" customHeight="1" x14ac:dyDescent="0.25">
      <c r="A17" s="1" t="s">
        <v>31</v>
      </c>
      <c r="B17" s="2" t="s">
        <v>32</v>
      </c>
    </row>
    <row r="18" spans="1:2" ht="16.149999999999999" customHeight="1" x14ac:dyDescent="0.25">
      <c r="A18" s="1" t="s">
        <v>33</v>
      </c>
      <c r="B18" s="2" t="s">
        <v>34</v>
      </c>
    </row>
    <row r="19" spans="1:2" ht="16.149999999999999" customHeight="1" x14ac:dyDescent="0.25">
      <c r="A19" s="1" t="s">
        <v>35</v>
      </c>
      <c r="B19" s="2" t="s">
        <v>36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workbookViewId="0">
      <selection activeCell="B3" sqref="B3"/>
    </sheetView>
  </sheetViews>
  <sheetFormatPr defaultRowHeight="15" x14ac:dyDescent="0.25"/>
  <cols>
    <col min="1" max="1" width="14.42578125" customWidth="1"/>
    <col min="2" max="2" width="55.28515625" customWidth="1"/>
    <col min="3" max="3" width="17.7109375" bestFit="1" customWidth="1"/>
    <col min="4" max="4" width="21.5703125" style="18" bestFit="1" customWidth="1"/>
    <col min="5" max="5" width="18.42578125" style="18" bestFit="1" customWidth="1"/>
    <col min="6" max="6" width="16.85546875" bestFit="1" customWidth="1"/>
  </cols>
  <sheetData>
    <row r="1" spans="1:6" ht="19.899999999999999" customHeight="1" x14ac:dyDescent="0.25">
      <c r="A1" s="3" t="s">
        <v>37</v>
      </c>
      <c r="B1" s="3" t="s">
        <v>38</v>
      </c>
      <c r="C1" s="3" t="s">
        <v>39</v>
      </c>
      <c r="D1" s="14" t="s">
        <v>40</v>
      </c>
      <c r="E1" s="14" t="s">
        <v>41</v>
      </c>
      <c r="F1" s="3" t="s">
        <v>42</v>
      </c>
    </row>
    <row r="2" spans="1:6" ht="15" customHeight="1" x14ac:dyDescent="0.25">
      <c r="A2" s="8">
        <v>46113</v>
      </c>
      <c r="B2" s="7" t="s">
        <v>481</v>
      </c>
      <c r="C2" s="6"/>
      <c r="D2" s="15"/>
      <c r="E2" s="15"/>
      <c r="F2" s="12">
        <v>363191</v>
      </c>
    </row>
    <row r="3" spans="1:6" ht="15" customHeight="1" x14ac:dyDescent="0.25">
      <c r="A3" s="9">
        <v>46114</v>
      </c>
      <c r="B3" s="5" t="s">
        <v>43</v>
      </c>
      <c r="C3" s="4"/>
      <c r="D3" s="16"/>
      <c r="E3" s="24">
        <v>53200</v>
      </c>
      <c r="F3" s="13">
        <f>+F2-D3+E3</f>
        <v>416391</v>
      </c>
    </row>
    <row r="4" spans="1:6" ht="15" customHeight="1" x14ac:dyDescent="0.25">
      <c r="A4" s="8">
        <v>46114</v>
      </c>
      <c r="B4" s="7" t="s">
        <v>44</v>
      </c>
      <c r="C4" s="6"/>
      <c r="D4" s="15"/>
      <c r="E4" s="26">
        <v>165179</v>
      </c>
      <c r="F4" s="13">
        <f t="shared" ref="F4:F67" si="0">+F3-D4+E4</f>
        <v>581570</v>
      </c>
    </row>
    <row r="5" spans="1:6" ht="15" customHeight="1" x14ac:dyDescent="0.25">
      <c r="A5" s="9">
        <v>46114</v>
      </c>
      <c r="B5" s="5" t="s">
        <v>45</v>
      </c>
      <c r="C5" s="4" t="s">
        <v>46</v>
      </c>
      <c r="D5" s="20">
        <v>2356</v>
      </c>
      <c r="E5" s="16"/>
      <c r="F5" s="13">
        <f t="shared" si="0"/>
        <v>579214</v>
      </c>
    </row>
    <row r="6" spans="1:6" ht="15" customHeight="1" x14ac:dyDescent="0.25">
      <c r="A6" s="8">
        <v>46114</v>
      </c>
      <c r="B6" s="7" t="s">
        <v>47</v>
      </c>
      <c r="C6" s="6"/>
      <c r="D6" s="15"/>
      <c r="E6" s="26">
        <v>35167.599999999999</v>
      </c>
      <c r="F6" s="13">
        <f t="shared" si="0"/>
        <v>614381.6</v>
      </c>
    </row>
    <row r="7" spans="1:6" ht="15" customHeight="1" x14ac:dyDescent="0.25">
      <c r="A7" s="9">
        <v>46114</v>
      </c>
      <c r="B7" s="5" t="s">
        <v>48</v>
      </c>
      <c r="C7" s="4" t="s">
        <v>49</v>
      </c>
      <c r="D7" s="16"/>
      <c r="E7" s="24">
        <v>70000</v>
      </c>
      <c r="F7" s="13">
        <f t="shared" si="0"/>
        <v>684381.6</v>
      </c>
    </row>
    <row r="8" spans="1:6" ht="15" customHeight="1" x14ac:dyDescent="0.25">
      <c r="A8" s="8">
        <v>46114</v>
      </c>
      <c r="B8" s="7" t="s">
        <v>50</v>
      </c>
      <c r="C8" s="6"/>
      <c r="D8" s="22">
        <v>681881.59999999998</v>
      </c>
      <c r="E8" s="15"/>
      <c r="F8" s="13">
        <f t="shared" si="0"/>
        <v>2500</v>
      </c>
    </row>
    <row r="9" spans="1:6" ht="15" customHeight="1" x14ac:dyDescent="0.25">
      <c r="A9" s="9">
        <v>46114</v>
      </c>
      <c r="B9" s="5" t="s">
        <v>51</v>
      </c>
      <c r="C9" s="4"/>
      <c r="D9" s="16"/>
      <c r="E9" s="24">
        <v>18409</v>
      </c>
      <c r="F9" s="13">
        <f t="shared" si="0"/>
        <v>20909</v>
      </c>
    </row>
    <row r="10" spans="1:6" ht="15" customHeight="1" x14ac:dyDescent="0.25">
      <c r="A10" s="8">
        <v>46114</v>
      </c>
      <c r="B10" s="7" t="s">
        <v>52</v>
      </c>
      <c r="C10" s="6"/>
      <c r="D10" s="15"/>
      <c r="E10" s="26">
        <v>121431</v>
      </c>
      <c r="F10" s="13">
        <f t="shared" si="0"/>
        <v>142340</v>
      </c>
    </row>
    <row r="11" spans="1:6" ht="15" customHeight="1" x14ac:dyDescent="0.25">
      <c r="A11" s="9">
        <v>46114</v>
      </c>
      <c r="B11" s="5" t="s">
        <v>53</v>
      </c>
      <c r="C11" s="4" t="s">
        <v>54</v>
      </c>
      <c r="D11" s="20">
        <v>1500</v>
      </c>
      <c r="E11" s="16"/>
      <c r="F11" s="13">
        <f t="shared" si="0"/>
        <v>140840</v>
      </c>
    </row>
    <row r="12" spans="1:6" ht="15" customHeight="1" x14ac:dyDescent="0.25">
      <c r="A12" s="8">
        <v>46114</v>
      </c>
      <c r="B12" s="7" t="s">
        <v>55</v>
      </c>
      <c r="C12" s="6"/>
      <c r="D12" s="15"/>
      <c r="E12" s="26">
        <v>100000</v>
      </c>
      <c r="F12" s="13">
        <f t="shared" si="0"/>
        <v>240840</v>
      </c>
    </row>
    <row r="13" spans="1:6" ht="15" customHeight="1" x14ac:dyDescent="0.25">
      <c r="A13" s="9">
        <v>46114</v>
      </c>
      <c r="B13" s="5" t="s">
        <v>56</v>
      </c>
      <c r="C13" s="4"/>
      <c r="D13" s="16"/>
      <c r="E13" s="24">
        <v>10000</v>
      </c>
      <c r="F13" s="13">
        <f t="shared" si="0"/>
        <v>250840</v>
      </c>
    </row>
    <row r="14" spans="1:6" ht="15" customHeight="1" x14ac:dyDescent="0.25">
      <c r="A14" s="8">
        <v>46114</v>
      </c>
      <c r="B14" s="7" t="s">
        <v>57</v>
      </c>
      <c r="C14" s="6"/>
      <c r="D14" s="22">
        <v>248340</v>
      </c>
      <c r="E14" s="15"/>
      <c r="F14" s="13">
        <f t="shared" si="0"/>
        <v>2500</v>
      </c>
    </row>
    <row r="15" spans="1:6" ht="15" customHeight="1" x14ac:dyDescent="0.25">
      <c r="A15" s="9">
        <v>46114</v>
      </c>
      <c r="B15" s="5" t="s">
        <v>58</v>
      </c>
      <c r="C15" s="4"/>
      <c r="D15" s="16"/>
      <c r="E15" s="24">
        <v>188588.4</v>
      </c>
      <c r="F15" s="13">
        <f t="shared" si="0"/>
        <v>191088.4</v>
      </c>
    </row>
    <row r="16" spans="1:6" ht="15" customHeight="1" x14ac:dyDescent="0.25">
      <c r="A16" s="8">
        <v>46114</v>
      </c>
      <c r="B16" s="7" t="s">
        <v>59</v>
      </c>
      <c r="C16" s="6"/>
      <c r="D16" s="15"/>
      <c r="E16" s="26">
        <v>50884.1</v>
      </c>
      <c r="F16" s="13">
        <f t="shared" si="0"/>
        <v>241972.5</v>
      </c>
    </row>
    <row r="17" spans="1:6" ht="15" customHeight="1" x14ac:dyDescent="0.25">
      <c r="A17" s="9">
        <v>46114</v>
      </c>
      <c r="B17" s="5" t="s">
        <v>60</v>
      </c>
      <c r="C17" s="4"/>
      <c r="D17" s="16"/>
      <c r="E17" s="24">
        <v>26312</v>
      </c>
      <c r="F17" s="13">
        <f t="shared" si="0"/>
        <v>268284.5</v>
      </c>
    </row>
    <row r="18" spans="1:6" ht="15" customHeight="1" x14ac:dyDescent="0.25">
      <c r="A18" s="8">
        <v>46114</v>
      </c>
      <c r="B18" s="7" t="s">
        <v>61</v>
      </c>
      <c r="C18" s="6"/>
      <c r="D18" s="15"/>
      <c r="E18" s="26">
        <v>16450</v>
      </c>
      <c r="F18" s="13">
        <f t="shared" si="0"/>
        <v>284734.5</v>
      </c>
    </row>
    <row r="19" spans="1:6" ht="15" customHeight="1" x14ac:dyDescent="0.25">
      <c r="A19" s="9">
        <v>46114</v>
      </c>
      <c r="B19" s="5" t="s">
        <v>62</v>
      </c>
      <c r="C19" s="4"/>
      <c r="D19" s="16"/>
      <c r="E19" s="24">
        <v>61903</v>
      </c>
      <c r="F19" s="13">
        <f t="shared" si="0"/>
        <v>346637.5</v>
      </c>
    </row>
    <row r="20" spans="1:6" ht="15" customHeight="1" x14ac:dyDescent="0.25">
      <c r="A20" s="8">
        <v>46114</v>
      </c>
      <c r="B20" s="7" t="s">
        <v>63</v>
      </c>
      <c r="C20" s="6"/>
      <c r="D20" s="15"/>
      <c r="E20" s="26">
        <v>166884</v>
      </c>
      <c r="F20" s="13">
        <f t="shared" si="0"/>
        <v>513521.5</v>
      </c>
    </row>
    <row r="21" spans="1:6" ht="15" customHeight="1" x14ac:dyDescent="0.25">
      <c r="A21" s="9">
        <v>46114</v>
      </c>
      <c r="B21" s="5" t="s">
        <v>64</v>
      </c>
      <c r="C21" s="4" t="s">
        <v>65</v>
      </c>
      <c r="D21" s="20">
        <v>4000</v>
      </c>
      <c r="E21" s="16"/>
      <c r="F21" s="13">
        <f t="shared" si="0"/>
        <v>509521.5</v>
      </c>
    </row>
    <row r="22" spans="1:6" ht="15" customHeight="1" x14ac:dyDescent="0.25">
      <c r="A22" s="8">
        <v>46114</v>
      </c>
      <c r="B22" s="7" t="s">
        <v>66</v>
      </c>
      <c r="C22" s="6"/>
      <c r="D22" s="15"/>
      <c r="E22" s="26">
        <v>63308</v>
      </c>
      <c r="F22" s="13">
        <f t="shared" si="0"/>
        <v>572829.5</v>
      </c>
    </row>
    <row r="23" spans="1:6" ht="15" customHeight="1" x14ac:dyDescent="0.25">
      <c r="A23" s="9">
        <v>46114</v>
      </c>
      <c r="B23" s="5" t="s">
        <v>67</v>
      </c>
      <c r="C23" s="4"/>
      <c r="D23" s="16"/>
      <c r="E23" s="24">
        <v>18088</v>
      </c>
      <c r="F23" s="13">
        <f t="shared" si="0"/>
        <v>590917.5</v>
      </c>
    </row>
    <row r="24" spans="1:6" ht="15" customHeight="1" x14ac:dyDescent="0.25">
      <c r="A24" s="8">
        <v>46114</v>
      </c>
      <c r="B24" s="7" t="s">
        <v>68</v>
      </c>
      <c r="C24" s="6" t="s">
        <v>69</v>
      </c>
      <c r="D24" s="22">
        <v>2800</v>
      </c>
      <c r="E24" s="15"/>
      <c r="F24" s="13">
        <f t="shared" si="0"/>
        <v>588117.5</v>
      </c>
    </row>
    <row r="25" spans="1:6" ht="15" customHeight="1" x14ac:dyDescent="0.25">
      <c r="A25" s="9">
        <v>46114</v>
      </c>
      <c r="B25" s="5" t="s">
        <v>70</v>
      </c>
      <c r="C25" s="4"/>
      <c r="D25" s="16"/>
      <c r="E25" s="24">
        <v>12813</v>
      </c>
      <c r="F25" s="13">
        <f t="shared" si="0"/>
        <v>600930.5</v>
      </c>
    </row>
    <row r="26" spans="1:6" ht="15" customHeight="1" x14ac:dyDescent="0.25">
      <c r="A26" s="8">
        <v>46114</v>
      </c>
      <c r="B26" s="7" t="s">
        <v>71</v>
      </c>
      <c r="C26" s="6"/>
      <c r="D26" s="15"/>
      <c r="E26" s="26">
        <v>4378</v>
      </c>
      <c r="F26" s="13">
        <f t="shared" si="0"/>
        <v>605308.5</v>
      </c>
    </row>
    <row r="27" spans="1:6" ht="15" customHeight="1" x14ac:dyDescent="0.25">
      <c r="A27" s="9">
        <v>46114</v>
      </c>
      <c r="B27" s="5" t="s">
        <v>72</v>
      </c>
      <c r="C27" s="4"/>
      <c r="D27" s="16"/>
      <c r="E27" s="24">
        <v>138674</v>
      </c>
      <c r="F27" s="13">
        <f t="shared" si="0"/>
        <v>743982.5</v>
      </c>
    </row>
    <row r="28" spans="1:6" ht="15" customHeight="1" x14ac:dyDescent="0.25">
      <c r="A28" s="8">
        <v>46114</v>
      </c>
      <c r="B28" s="7" t="s">
        <v>73</v>
      </c>
      <c r="C28" s="6"/>
      <c r="D28" s="15"/>
      <c r="E28" s="26">
        <v>50000</v>
      </c>
      <c r="F28" s="13">
        <f t="shared" si="0"/>
        <v>793982.5</v>
      </c>
    </row>
    <row r="29" spans="1:6" ht="15" customHeight="1" x14ac:dyDescent="0.25">
      <c r="A29" s="9">
        <v>46114</v>
      </c>
      <c r="B29" s="5" t="s">
        <v>74</v>
      </c>
      <c r="C29" s="4"/>
      <c r="D29" s="20">
        <v>791482.5</v>
      </c>
      <c r="E29" s="16"/>
      <c r="F29" s="13">
        <f t="shared" si="0"/>
        <v>2500</v>
      </c>
    </row>
    <row r="30" spans="1:6" ht="15" customHeight="1" x14ac:dyDescent="0.25">
      <c r="A30" s="8">
        <v>46114</v>
      </c>
      <c r="B30" s="7" t="s">
        <v>75</v>
      </c>
      <c r="C30" s="6"/>
      <c r="D30" s="15"/>
      <c r="E30" s="26">
        <v>36176</v>
      </c>
      <c r="F30" s="13">
        <f t="shared" si="0"/>
        <v>38676</v>
      </c>
    </row>
    <row r="31" spans="1:6" ht="15" customHeight="1" x14ac:dyDescent="0.25">
      <c r="A31" s="9">
        <v>46114</v>
      </c>
      <c r="B31" s="5" t="s">
        <v>76</v>
      </c>
      <c r="C31" s="4"/>
      <c r="D31" s="16"/>
      <c r="E31" s="24">
        <v>4353</v>
      </c>
      <c r="F31" s="13">
        <f t="shared" si="0"/>
        <v>43029</v>
      </c>
    </row>
    <row r="32" spans="1:6" ht="15" customHeight="1" x14ac:dyDescent="0.25">
      <c r="A32" s="8">
        <v>46115</v>
      </c>
      <c r="B32" s="7" t="s">
        <v>77</v>
      </c>
      <c r="C32" s="6"/>
      <c r="D32" s="15"/>
      <c r="E32" s="26">
        <v>173393.9</v>
      </c>
      <c r="F32" s="13">
        <f t="shared" si="0"/>
        <v>216422.9</v>
      </c>
    </row>
    <row r="33" spans="1:6" ht="15" customHeight="1" x14ac:dyDescent="0.25">
      <c r="A33" s="9">
        <v>46115</v>
      </c>
      <c r="B33" s="5" t="s">
        <v>78</v>
      </c>
      <c r="C33" s="4"/>
      <c r="D33" s="16"/>
      <c r="E33" s="24">
        <v>53957.68</v>
      </c>
      <c r="F33" s="13">
        <f t="shared" si="0"/>
        <v>270380.58</v>
      </c>
    </row>
    <row r="34" spans="1:6" ht="15" customHeight="1" x14ac:dyDescent="0.25">
      <c r="A34" s="8">
        <v>46115</v>
      </c>
      <c r="B34" s="7" t="s">
        <v>79</v>
      </c>
      <c r="C34" s="6"/>
      <c r="D34" s="15"/>
      <c r="E34" s="26">
        <v>21700</v>
      </c>
      <c r="F34" s="13">
        <f t="shared" si="0"/>
        <v>292080.58</v>
      </c>
    </row>
    <row r="35" spans="1:6" ht="15" customHeight="1" x14ac:dyDescent="0.25">
      <c r="A35" s="9">
        <v>46115</v>
      </c>
      <c r="B35" s="5" t="s">
        <v>80</v>
      </c>
      <c r="C35" s="4"/>
      <c r="D35" s="16"/>
      <c r="E35" s="24">
        <v>5750</v>
      </c>
      <c r="F35" s="13">
        <f t="shared" si="0"/>
        <v>297830.58</v>
      </c>
    </row>
    <row r="36" spans="1:6" ht="15" customHeight="1" x14ac:dyDescent="0.25">
      <c r="A36" s="8">
        <v>46115</v>
      </c>
      <c r="B36" s="7" t="s">
        <v>81</v>
      </c>
      <c r="C36" s="6"/>
      <c r="D36" s="15"/>
      <c r="E36" s="26">
        <v>112894</v>
      </c>
      <c r="F36" s="13">
        <f t="shared" si="0"/>
        <v>410724.58</v>
      </c>
    </row>
    <row r="37" spans="1:6" ht="15" customHeight="1" x14ac:dyDescent="0.25">
      <c r="A37" s="9">
        <v>46115</v>
      </c>
      <c r="B37" s="5" t="s">
        <v>82</v>
      </c>
      <c r="C37" s="4"/>
      <c r="D37" s="16"/>
      <c r="E37" s="24">
        <v>200000</v>
      </c>
      <c r="F37" s="13">
        <f t="shared" si="0"/>
        <v>610724.58000000007</v>
      </c>
    </row>
    <row r="38" spans="1:6" ht="15" customHeight="1" x14ac:dyDescent="0.25">
      <c r="A38" s="8">
        <v>46115</v>
      </c>
      <c r="B38" s="7" t="s">
        <v>83</v>
      </c>
      <c r="C38" s="6"/>
      <c r="D38" s="15"/>
      <c r="E38" s="26">
        <v>180880</v>
      </c>
      <c r="F38" s="13">
        <f t="shared" si="0"/>
        <v>791604.58000000007</v>
      </c>
    </row>
    <row r="39" spans="1:6" ht="15" customHeight="1" x14ac:dyDescent="0.25">
      <c r="A39" s="9">
        <v>46115</v>
      </c>
      <c r="B39" s="5" t="s">
        <v>84</v>
      </c>
      <c r="C39" s="4"/>
      <c r="D39" s="20">
        <v>790104.58</v>
      </c>
      <c r="E39" s="16"/>
      <c r="F39" s="13">
        <f t="shared" si="0"/>
        <v>1500.0000000001164</v>
      </c>
    </row>
    <row r="40" spans="1:6" ht="15" customHeight="1" x14ac:dyDescent="0.25">
      <c r="A40" s="8">
        <v>46116</v>
      </c>
      <c r="B40" s="7" t="s">
        <v>85</v>
      </c>
      <c r="C40" s="6"/>
      <c r="D40" s="15"/>
      <c r="E40" s="26">
        <v>171014</v>
      </c>
      <c r="F40" s="13">
        <f t="shared" si="0"/>
        <v>172514.00000000012</v>
      </c>
    </row>
    <row r="41" spans="1:6" ht="15" customHeight="1" x14ac:dyDescent="0.25">
      <c r="A41" s="9">
        <v>46116</v>
      </c>
      <c r="B41" s="5" t="s">
        <v>86</v>
      </c>
      <c r="C41" s="4"/>
      <c r="D41" s="16"/>
      <c r="E41" s="24">
        <v>49956</v>
      </c>
      <c r="F41" s="13">
        <f t="shared" si="0"/>
        <v>222470.00000000012</v>
      </c>
    </row>
    <row r="42" spans="1:6" ht="15" customHeight="1" x14ac:dyDescent="0.25">
      <c r="A42" s="8">
        <v>46116</v>
      </c>
      <c r="B42" s="7" t="s">
        <v>87</v>
      </c>
      <c r="C42" s="6"/>
      <c r="D42" s="15"/>
      <c r="E42" s="26">
        <v>22121</v>
      </c>
      <c r="F42" s="13">
        <f t="shared" si="0"/>
        <v>244591.00000000012</v>
      </c>
    </row>
    <row r="43" spans="1:6" ht="15" customHeight="1" x14ac:dyDescent="0.25">
      <c r="A43" s="9">
        <v>46116</v>
      </c>
      <c r="B43" s="5" t="s">
        <v>88</v>
      </c>
      <c r="C43" s="4"/>
      <c r="D43" s="20">
        <v>240091</v>
      </c>
      <c r="E43" s="16"/>
      <c r="F43" s="13">
        <f t="shared" si="0"/>
        <v>4500.0000000001164</v>
      </c>
    </row>
    <row r="44" spans="1:6" ht="15" customHeight="1" x14ac:dyDescent="0.25">
      <c r="A44" s="8">
        <v>46116</v>
      </c>
      <c r="B44" s="7" t="s">
        <v>89</v>
      </c>
      <c r="C44" s="6"/>
      <c r="D44" s="15"/>
      <c r="E44" s="26">
        <v>22400</v>
      </c>
      <c r="F44" s="13">
        <f t="shared" si="0"/>
        <v>26900.000000000116</v>
      </c>
    </row>
    <row r="45" spans="1:6" ht="15" customHeight="1" x14ac:dyDescent="0.25">
      <c r="A45" s="9">
        <v>46116</v>
      </c>
      <c r="B45" s="5" t="s">
        <v>90</v>
      </c>
      <c r="C45" s="4"/>
      <c r="D45" s="16"/>
      <c r="E45" s="24">
        <v>5800</v>
      </c>
      <c r="F45" s="13">
        <f t="shared" si="0"/>
        <v>32700.000000000116</v>
      </c>
    </row>
    <row r="46" spans="1:6" ht="15" customHeight="1" x14ac:dyDescent="0.25">
      <c r="A46" s="8">
        <v>46116</v>
      </c>
      <c r="B46" s="7" t="s">
        <v>91</v>
      </c>
      <c r="C46" s="6" t="s">
        <v>92</v>
      </c>
      <c r="D46" s="21">
        <v>150.63</v>
      </c>
      <c r="E46" s="15"/>
      <c r="F46" s="13">
        <f t="shared" si="0"/>
        <v>32549.370000000115</v>
      </c>
    </row>
    <row r="47" spans="1:6" ht="15" customHeight="1" x14ac:dyDescent="0.25">
      <c r="A47" s="9">
        <v>46116</v>
      </c>
      <c r="B47" s="5" t="s">
        <v>93</v>
      </c>
      <c r="C47" s="4"/>
      <c r="D47" s="16"/>
      <c r="E47" s="24">
        <v>7885</v>
      </c>
      <c r="F47" s="13">
        <f t="shared" si="0"/>
        <v>40434.370000000112</v>
      </c>
    </row>
    <row r="48" spans="1:6" ht="15" customHeight="1" x14ac:dyDescent="0.25">
      <c r="A48" s="8">
        <v>46116</v>
      </c>
      <c r="B48" s="7" t="s">
        <v>94</v>
      </c>
      <c r="C48" s="6"/>
      <c r="D48" s="15"/>
      <c r="E48" s="26">
        <v>81396</v>
      </c>
      <c r="F48" s="13">
        <f t="shared" si="0"/>
        <v>121830.37000000011</v>
      </c>
    </row>
    <row r="49" spans="1:6" ht="15" customHeight="1" x14ac:dyDescent="0.25">
      <c r="A49" s="9">
        <v>46116</v>
      </c>
      <c r="B49" s="5" t="s">
        <v>95</v>
      </c>
      <c r="C49" s="4"/>
      <c r="D49" s="20">
        <v>120330.37</v>
      </c>
      <c r="E49" s="16"/>
      <c r="F49" s="13">
        <f t="shared" si="0"/>
        <v>1500.0000000001164</v>
      </c>
    </row>
    <row r="50" spans="1:6" ht="15" customHeight="1" x14ac:dyDescent="0.25">
      <c r="A50" s="8">
        <v>46116</v>
      </c>
      <c r="B50" s="7" t="s">
        <v>96</v>
      </c>
      <c r="C50" s="6"/>
      <c r="D50" s="15"/>
      <c r="E50" s="26">
        <v>81396</v>
      </c>
      <c r="F50" s="13">
        <f t="shared" si="0"/>
        <v>82896.000000000116</v>
      </c>
    </row>
    <row r="51" spans="1:6" ht="15" customHeight="1" x14ac:dyDescent="0.25">
      <c r="A51" s="9">
        <v>46117</v>
      </c>
      <c r="B51" s="5" t="s">
        <v>97</v>
      </c>
      <c r="C51" s="4"/>
      <c r="D51" s="16"/>
      <c r="E51" s="24">
        <v>167015</v>
      </c>
      <c r="F51" s="13">
        <f t="shared" si="0"/>
        <v>249911.00000000012</v>
      </c>
    </row>
    <row r="52" spans="1:6" ht="15" customHeight="1" x14ac:dyDescent="0.25">
      <c r="A52" s="8">
        <v>46117</v>
      </c>
      <c r="B52" s="7" t="s">
        <v>98</v>
      </c>
      <c r="C52" s="6"/>
      <c r="D52" s="15"/>
      <c r="E52" s="26">
        <v>67868.36</v>
      </c>
      <c r="F52" s="13">
        <f t="shared" si="0"/>
        <v>317779.3600000001</v>
      </c>
    </row>
    <row r="53" spans="1:6" ht="15" customHeight="1" x14ac:dyDescent="0.25">
      <c r="A53" s="9">
        <v>46117</v>
      </c>
      <c r="B53" s="5" t="s">
        <v>99</v>
      </c>
      <c r="C53" s="4"/>
      <c r="D53" s="16"/>
      <c r="E53" s="24">
        <v>28124</v>
      </c>
      <c r="F53" s="13">
        <f t="shared" si="0"/>
        <v>345903.3600000001</v>
      </c>
    </row>
    <row r="54" spans="1:6" ht="15" customHeight="1" x14ac:dyDescent="0.25">
      <c r="A54" s="8">
        <v>46117</v>
      </c>
      <c r="B54" s="7" t="s">
        <v>100</v>
      </c>
      <c r="C54" s="6"/>
      <c r="D54" s="22">
        <v>300403.36</v>
      </c>
      <c r="E54" s="15"/>
      <c r="F54" s="13">
        <f t="shared" si="0"/>
        <v>45500.000000000116</v>
      </c>
    </row>
    <row r="55" spans="1:6" ht="15" customHeight="1" x14ac:dyDescent="0.25">
      <c r="A55" s="9">
        <v>46117</v>
      </c>
      <c r="B55" s="5" t="s">
        <v>101</v>
      </c>
      <c r="C55" s="4"/>
      <c r="D55" s="16"/>
      <c r="E55" s="24">
        <v>63308</v>
      </c>
      <c r="F55" s="13">
        <f t="shared" si="0"/>
        <v>108808.00000000012</v>
      </c>
    </row>
    <row r="56" spans="1:6" ht="15" customHeight="1" x14ac:dyDescent="0.25">
      <c r="A56" s="8">
        <v>46118</v>
      </c>
      <c r="B56" s="7" t="s">
        <v>102</v>
      </c>
      <c r="C56" s="6"/>
      <c r="D56" s="15"/>
      <c r="E56" s="26">
        <v>58335.21</v>
      </c>
      <c r="F56" s="13">
        <f t="shared" si="0"/>
        <v>167143.21000000011</v>
      </c>
    </row>
    <row r="57" spans="1:6" ht="15" customHeight="1" x14ac:dyDescent="0.25">
      <c r="A57" s="9">
        <v>46118</v>
      </c>
      <c r="B57" s="5" t="s">
        <v>103</v>
      </c>
      <c r="C57" s="4"/>
      <c r="D57" s="16"/>
      <c r="E57" s="24">
        <v>169456</v>
      </c>
      <c r="F57" s="13">
        <f t="shared" si="0"/>
        <v>336599.21000000008</v>
      </c>
    </row>
    <row r="58" spans="1:6" ht="15" customHeight="1" x14ac:dyDescent="0.25">
      <c r="A58" s="8">
        <v>46118</v>
      </c>
      <c r="B58" s="7" t="s">
        <v>104</v>
      </c>
      <c r="C58" s="6"/>
      <c r="D58" s="15"/>
      <c r="E58" s="26">
        <v>31681</v>
      </c>
      <c r="F58" s="13">
        <f t="shared" si="0"/>
        <v>368280.21000000008</v>
      </c>
    </row>
    <row r="59" spans="1:6" ht="15" customHeight="1" x14ac:dyDescent="0.25">
      <c r="A59" s="9">
        <v>46118</v>
      </c>
      <c r="B59" s="5" t="s">
        <v>105</v>
      </c>
      <c r="C59" s="4"/>
      <c r="D59" s="20">
        <v>365780.21</v>
      </c>
      <c r="E59" s="16"/>
      <c r="F59" s="13">
        <f t="shared" si="0"/>
        <v>2500.0000000000582</v>
      </c>
    </row>
    <row r="60" spans="1:6" ht="15" customHeight="1" x14ac:dyDescent="0.25">
      <c r="A60" s="8">
        <v>46118</v>
      </c>
      <c r="B60" s="7" t="s">
        <v>106</v>
      </c>
      <c r="C60" s="6"/>
      <c r="D60" s="15"/>
      <c r="E60" s="26">
        <v>29516</v>
      </c>
      <c r="F60" s="13">
        <f t="shared" si="0"/>
        <v>32016.000000000058</v>
      </c>
    </row>
    <row r="61" spans="1:6" ht="15" customHeight="1" x14ac:dyDescent="0.25">
      <c r="A61" s="9">
        <v>46118</v>
      </c>
      <c r="B61" s="5" t="s">
        <v>107</v>
      </c>
      <c r="C61" s="4"/>
      <c r="D61" s="16"/>
      <c r="E61" s="24">
        <v>100000</v>
      </c>
      <c r="F61" s="13">
        <f t="shared" si="0"/>
        <v>132016.00000000006</v>
      </c>
    </row>
    <row r="62" spans="1:6" ht="15" customHeight="1" x14ac:dyDescent="0.25">
      <c r="A62" s="8">
        <v>46118</v>
      </c>
      <c r="B62" s="7" t="s">
        <v>108</v>
      </c>
      <c r="C62" s="6"/>
      <c r="D62" s="15"/>
      <c r="E62" s="26">
        <v>14073</v>
      </c>
      <c r="F62" s="13">
        <f t="shared" si="0"/>
        <v>146089.00000000006</v>
      </c>
    </row>
    <row r="63" spans="1:6" ht="15" customHeight="1" x14ac:dyDescent="0.25">
      <c r="A63" s="9">
        <v>46118</v>
      </c>
      <c r="B63" s="5" t="s">
        <v>109</v>
      </c>
      <c r="C63" s="4" t="s">
        <v>110</v>
      </c>
      <c r="D63" s="16"/>
      <c r="E63" s="24">
        <v>1000</v>
      </c>
      <c r="F63" s="13">
        <f t="shared" si="0"/>
        <v>147089.00000000006</v>
      </c>
    </row>
    <row r="64" spans="1:6" ht="15" customHeight="1" x14ac:dyDescent="0.25">
      <c r="A64" s="8">
        <v>46118</v>
      </c>
      <c r="B64" s="7" t="s">
        <v>111</v>
      </c>
      <c r="C64" s="6"/>
      <c r="D64" s="15"/>
      <c r="E64" s="26">
        <v>38524</v>
      </c>
      <c r="F64" s="13">
        <f t="shared" si="0"/>
        <v>185613.00000000006</v>
      </c>
    </row>
    <row r="65" spans="1:6" ht="15" customHeight="1" x14ac:dyDescent="0.25">
      <c r="A65" s="9">
        <v>46118</v>
      </c>
      <c r="B65" s="5" t="s">
        <v>112</v>
      </c>
      <c r="C65" s="4"/>
      <c r="D65" s="16"/>
      <c r="E65" s="24">
        <v>15001</v>
      </c>
      <c r="F65" s="13">
        <f t="shared" si="0"/>
        <v>200614.00000000006</v>
      </c>
    </row>
    <row r="66" spans="1:6" ht="15" customHeight="1" x14ac:dyDescent="0.25">
      <c r="A66" s="8">
        <v>46118</v>
      </c>
      <c r="B66" s="7" t="s">
        <v>113</v>
      </c>
      <c r="C66" s="6"/>
      <c r="D66" s="22">
        <v>198114</v>
      </c>
      <c r="E66" s="15"/>
      <c r="F66" s="13">
        <f t="shared" si="0"/>
        <v>2500.0000000000582</v>
      </c>
    </row>
    <row r="67" spans="1:6" ht="15" customHeight="1" x14ac:dyDescent="0.25">
      <c r="A67" s="9">
        <v>46118</v>
      </c>
      <c r="B67" s="5" t="s">
        <v>114</v>
      </c>
      <c r="C67" s="4"/>
      <c r="D67" s="16"/>
      <c r="E67" s="24">
        <v>18448</v>
      </c>
      <c r="F67" s="13">
        <f t="shared" si="0"/>
        <v>20948.000000000058</v>
      </c>
    </row>
    <row r="68" spans="1:6" ht="15" customHeight="1" x14ac:dyDescent="0.25">
      <c r="A68" s="8">
        <v>46119</v>
      </c>
      <c r="B68" s="7" t="s">
        <v>115</v>
      </c>
      <c r="C68" s="6"/>
      <c r="D68" s="15"/>
      <c r="E68" s="26">
        <v>260044.42</v>
      </c>
      <c r="F68" s="13">
        <f t="shared" ref="F68:F131" si="1">+F67-D68+E68</f>
        <v>280992.42000000004</v>
      </c>
    </row>
    <row r="69" spans="1:6" ht="15" customHeight="1" x14ac:dyDescent="0.25">
      <c r="A69" s="9">
        <v>46119</v>
      </c>
      <c r="B69" s="5" t="s">
        <v>116</v>
      </c>
      <c r="C69" s="4"/>
      <c r="D69" s="16"/>
      <c r="E69" s="24">
        <v>55000.65</v>
      </c>
      <c r="F69" s="13">
        <f t="shared" si="1"/>
        <v>335993.07000000007</v>
      </c>
    </row>
    <row r="70" spans="1:6" ht="15" customHeight="1" x14ac:dyDescent="0.25">
      <c r="A70" s="8">
        <v>46119</v>
      </c>
      <c r="B70" s="7" t="s">
        <v>117</v>
      </c>
      <c r="C70" s="6"/>
      <c r="D70" s="22">
        <v>330493.07</v>
      </c>
      <c r="E70" s="15"/>
      <c r="F70" s="13">
        <f t="shared" si="1"/>
        <v>5500.0000000000582</v>
      </c>
    </row>
    <row r="71" spans="1:6" ht="15" customHeight="1" x14ac:dyDescent="0.25">
      <c r="A71" s="9">
        <v>46119</v>
      </c>
      <c r="B71" s="5" t="s">
        <v>118</v>
      </c>
      <c r="C71" s="4" t="s">
        <v>119</v>
      </c>
      <c r="D71" s="16"/>
      <c r="E71" s="24">
        <v>9000</v>
      </c>
      <c r="F71" s="13">
        <f t="shared" si="1"/>
        <v>14500.000000000058</v>
      </c>
    </row>
    <row r="72" spans="1:6" ht="15" customHeight="1" x14ac:dyDescent="0.25">
      <c r="A72" s="8">
        <v>46119</v>
      </c>
      <c r="B72" s="7" t="s">
        <v>120</v>
      </c>
      <c r="C72" s="6"/>
      <c r="D72" s="15"/>
      <c r="E72" s="26">
        <v>23072</v>
      </c>
      <c r="F72" s="13">
        <f t="shared" si="1"/>
        <v>37572.000000000058</v>
      </c>
    </row>
    <row r="73" spans="1:6" ht="15" customHeight="1" x14ac:dyDescent="0.25">
      <c r="A73" s="9">
        <v>46119</v>
      </c>
      <c r="B73" s="5" t="s">
        <v>121</v>
      </c>
      <c r="C73" s="4"/>
      <c r="D73" s="16"/>
      <c r="E73" s="24">
        <v>25110</v>
      </c>
      <c r="F73" s="13">
        <f t="shared" si="1"/>
        <v>62682.000000000058</v>
      </c>
    </row>
    <row r="74" spans="1:6" ht="15" customHeight="1" x14ac:dyDescent="0.25">
      <c r="A74" s="8">
        <v>46119</v>
      </c>
      <c r="B74" s="7" t="s">
        <v>122</v>
      </c>
      <c r="C74" s="6"/>
      <c r="D74" s="21">
        <v>2.65</v>
      </c>
      <c r="E74" s="15"/>
      <c r="F74" s="13">
        <f t="shared" si="1"/>
        <v>62679.350000000057</v>
      </c>
    </row>
    <row r="75" spans="1:6" ht="15" customHeight="1" x14ac:dyDescent="0.25">
      <c r="A75" s="9">
        <v>46119</v>
      </c>
      <c r="B75" s="5" t="s">
        <v>123</v>
      </c>
      <c r="C75" s="4"/>
      <c r="D75" s="20">
        <v>4000</v>
      </c>
      <c r="E75" s="16"/>
      <c r="F75" s="13">
        <f t="shared" si="1"/>
        <v>58679.350000000057</v>
      </c>
    </row>
    <row r="76" spans="1:6" ht="15" customHeight="1" x14ac:dyDescent="0.25">
      <c r="A76" s="8">
        <v>46119</v>
      </c>
      <c r="B76" s="7" t="s">
        <v>124</v>
      </c>
      <c r="C76" s="6"/>
      <c r="D76" s="15"/>
      <c r="E76" s="26">
        <v>3617</v>
      </c>
      <c r="F76" s="13">
        <f t="shared" si="1"/>
        <v>62296.350000000057</v>
      </c>
    </row>
    <row r="77" spans="1:6" ht="15" customHeight="1" x14ac:dyDescent="0.25">
      <c r="A77" s="9">
        <v>46119</v>
      </c>
      <c r="B77" s="5" t="s">
        <v>125</v>
      </c>
      <c r="C77" s="4"/>
      <c r="D77" s="16"/>
      <c r="E77" s="24">
        <v>114500</v>
      </c>
      <c r="F77" s="13">
        <f t="shared" si="1"/>
        <v>176796.35000000006</v>
      </c>
    </row>
    <row r="78" spans="1:6" ht="15" customHeight="1" x14ac:dyDescent="0.25">
      <c r="A78" s="8">
        <v>46119</v>
      </c>
      <c r="B78" s="7" t="s">
        <v>126</v>
      </c>
      <c r="C78" s="6" t="s">
        <v>127</v>
      </c>
      <c r="D78" s="22">
        <v>99037</v>
      </c>
      <c r="E78" s="15"/>
      <c r="F78" s="13">
        <f t="shared" si="1"/>
        <v>77759.350000000064</v>
      </c>
    </row>
    <row r="79" spans="1:6" ht="15" customHeight="1" x14ac:dyDescent="0.25">
      <c r="A79" s="9">
        <v>46119</v>
      </c>
      <c r="B79" s="5" t="s">
        <v>128</v>
      </c>
      <c r="C79" s="4" t="s">
        <v>129</v>
      </c>
      <c r="D79" s="19">
        <v>500</v>
      </c>
      <c r="E79" s="16"/>
      <c r="F79" s="13">
        <f t="shared" si="1"/>
        <v>77259.350000000064</v>
      </c>
    </row>
    <row r="80" spans="1:6" ht="15" customHeight="1" x14ac:dyDescent="0.25">
      <c r="A80" s="8">
        <v>46119</v>
      </c>
      <c r="B80" s="7" t="s">
        <v>130</v>
      </c>
      <c r="C80" s="6"/>
      <c r="D80" s="15"/>
      <c r="E80" s="26">
        <v>3405</v>
      </c>
      <c r="F80" s="13">
        <f t="shared" si="1"/>
        <v>80664.350000000064</v>
      </c>
    </row>
    <row r="81" spans="1:6" ht="15" customHeight="1" x14ac:dyDescent="0.25">
      <c r="A81" s="9">
        <v>46119</v>
      </c>
      <c r="B81" s="5" t="s">
        <v>131</v>
      </c>
      <c r="C81" s="4"/>
      <c r="D81" s="16"/>
      <c r="E81" s="24">
        <v>2618</v>
      </c>
      <c r="F81" s="13">
        <f t="shared" si="1"/>
        <v>83282.350000000064</v>
      </c>
    </row>
    <row r="82" spans="1:6" ht="15" customHeight="1" x14ac:dyDescent="0.25">
      <c r="A82" s="8">
        <v>46119</v>
      </c>
      <c r="B82" s="7" t="s">
        <v>132</v>
      </c>
      <c r="C82" s="6"/>
      <c r="D82" s="15"/>
      <c r="E82" s="26">
        <v>56800</v>
      </c>
      <c r="F82" s="13">
        <f t="shared" si="1"/>
        <v>140082.35000000006</v>
      </c>
    </row>
    <row r="83" spans="1:6" ht="15" customHeight="1" x14ac:dyDescent="0.25">
      <c r="A83" s="9">
        <v>46119</v>
      </c>
      <c r="B83" s="5" t="s">
        <v>133</v>
      </c>
      <c r="C83" s="4"/>
      <c r="D83" s="20">
        <v>137582.35</v>
      </c>
      <c r="E83" s="16"/>
      <c r="F83" s="13">
        <f t="shared" si="1"/>
        <v>2500.0000000000582</v>
      </c>
    </row>
    <row r="84" spans="1:6" ht="15" customHeight="1" x14ac:dyDescent="0.25">
      <c r="A84" s="8">
        <v>46119</v>
      </c>
      <c r="B84" s="7" t="s">
        <v>134</v>
      </c>
      <c r="C84" s="6"/>
      <c r="D84" s="15"/>
      <c r="E84" s="26">
        <v>37413</v>
      </c>
      <c r="F84" s="13">
        <f t="shared" si="1"/>
        <v>39913.000000000058</v>
      </c>
    </row>
    <row r="85" spans="1:6" ht="15" customHeight="1" x14ac:dyDescent="0.25">
      <c r="A85" s="9">
        <v>46120</v>
      </c>
      <c r="B85" s="5" t="s">
        <v>135</v>
      </c>
      <c r="C85" s="4"/>
      <c r="D85" s="16"/>
      <c r="E85" s="24">
        <v>243684</v>
      </c>
      <c r="F85" s="13">
        <f t="shared" si="1"/>
        <v>283597.00000000006</v>
      </c>
    </row>
    <row r="86" spans="1:6" ht="15" customHeight="1" x14ac:dyDescent="0.25">
      <c r="A86" s="8">
        <v>46120</v>
      </c>
      <c r="B86" s="7" t="s">
        <v>136</v>
      </c>
      <c r="C86" s="6" t="s">
        <v>137</v>
      </c>
      <c r="D86" s="22">
        <v>37085</v>
      </c>
      <c r="E86" s="15"/>
      <c r="F86" s="13">
        <f t="shared" si="1"/>
        <v>246512.00000000006</v>
      </c>
    </row>
    <row r="87" spans="1:6" ht="15" customHeight="1" x14ac:dyDescent="0.25">
      <c r="A87" s="9">
        <v>46120</v>
      </c>
      <c r="B87" s="5" t="s">
        <v>138</v>
      </c>
      <c r="C87" s="4"/>
      <c r="D87" s="16"/>
      <c r="E87" s="24">
        <v>47737</v>
      </c>
      <c r="F87" s="13">
        <f t="shared" si="1"/>
        <v>294249.00000000006</v>
      </c>
    </row>
    <row r="88" spans="1:6" ht="15" customHeight="1" x14ac:dyDescent="0.25">
      <c r="A88" s="8">
        <v>46120</v>
      </c>
      <c r="B88" s="7" t="s">
        <v>139</v>
      </c>
      <c r="C88" s="6"/>
      <c r="D88" s="21">
        <v>24</v>
      </c>
      <c r="E88" s="15"/>
      <c r="F88" s="13">
        <f t="shared" si="1"/>
        <v>294225.00000000006</v>
      </c>
    </row>
    <row r="89" spans="1:6" ht="15" customHeight="1" x14ac:dyDescent="0.25">
      <c r="A89" s="9">
        <v>46120</v>
      </c>
      <c r="B89" s="5" t="s">
        <v>140</v>
      </c>
      <c r="C89" s="4"/>
      <c r="D89" s="16"/>
      <c r="E89" s="24">
        <v>13338</v>
      </c>
      <c r="F89" s="13">
        <f t="shared" si="1"/>
        <v>307563.00000000006</v>
      </c>
    </row>
    <row r="90" spans="1:6" ht="15" customHeight="1" x14ac:dyDescent="0.25">
      <c r="A90" s="8">
        <v>46120</v>
      </c>
      <c r="B90" s="7" t="s">
        <v>141</v>
      </c>
      <c r="C90" s="6"/>
      <c r="D90" s="15"/>
      <c r="E90" s="26">
        <v>76050</v>
      </c>
      <c r="F90" s="13">
        <f t="shared" si="1"/>
        <v>383613.00000000006</v>
      </c>
    </row>
    <row r="91" spans="1:6" ht="15" customHeight="1" x14ac:dyDescent="0.25">
      <c r="A91" s="9">
        <v>46120</v>
      </c>
      <c r="B91" s="5" t="s">
        <v>142</v>
      </c>
      <c r="C91" s="4"/>
      <c r="D91" s="20">
        <v>381113</v>
      </c>
      <c r="E91" s="16"/>
      <c r="F91" s="13">
        <f t="shared" si="1"/>
        <v>2500.0000000000582</v>
      </c>
    </row>
    <row r="92" spans="1:6" ht="15" customHeight="1" x14ac:dyDescent="0.25">
      <c r="A92" s="8">
        <v>46120</v>
      </c>
      <c r="B92" s="7" t="s">
        <v>143</v>
      </c>
      <c r="C92" s="6"/>
      <c r="D92" s="15"/>
      <c r="E92" s="26">
        <v>40356</v>
      </c>
      <c r="F92" s="13">
        <f t="shared" si="1"/>
        <v>42856.000000000058</v>
      </c>
    </row>
    <row r="93" spans="1:6" ht="15" customHeight="1" x14ac:dyDescent="0.25">
      <c r="A93" s="9">
        <v>46120</v>
      </c>
      <c r="B93" s="5" t="s">
        <v>144</v>
      </c>
      <c r="C93" s="4"/>
      <c r="D93" s="16"/>
      <c r="E93" s="24">
        <v>1906</v>
      </c>
      <c r="F93" s="13">
        <f t="shared" si="1"/>
        <v>44762.000000000058</v>
      </c>
    </row>
    <row r="94" spans="1:6" ht="15" customHeight="1" x14ac:dyDescent="0.25">
      <c r="A94" s="8">
        <v>46120</v>
      </c>
      <c r="B94" s="7" t="s">
        <v>145</v>
      </c>
      <c r="C94" s="6"/>
      <c r="D94" s="15"/>
      <c r="E94" s="26">
        <v>3050</v>
      </c>
      <c r="F94" s="13">
        <f t="shared" si="1"/>
        <v>47812.000000000058</v>
      </c>
    </row>
    <row r="95" spans="1:6" ht="15" customHeight="1" x14ac:dyDescent="0.25">
      <c r="A95" s="9">
        <v>46120</v>
      </c>
      <c r="B95" s="5" t="s">
        <v>146</v>
      </c>
      <c r="C95" s="4"/>
      <c r="D95" s="16"/>
      <c r="E95" s="24">
        <v>63308</v>
      </c>
      <c r="F95" s="13">
        <f t="shared" si="1"/>
        <v>111120.00000000006</v>
      </c>
    </row>
    <row r="96" spans="1:6" ht="15" customHeight="1" x14ac:dyDescent="0.25">
      <c r="A96" s="8">
        <v>46120</v>
      </c>
      <c r="B96" s="7" t="s">
        <v>147</v>
      </c>
      <c r="C96" s="6"/>
      <c r="D96" s="22">
        <v>108620</v>
      </c>
      <c r="E96" s="15"/>
      <c r="F96" s="13">
        <f t="shared" si="1"/>
        <v>2500.0000000000582</v>
      </c>
    </row>
    <row r="97" spans="1:6" ht="15" customHeight="1" x14ac:dyDescent="0.25">
      <c r="A97" s="9">
        <v>46121</v>
      </c>
      <c r="B97" s="5" t="s">
        <v>148</v>
      </c>
      <c r="C97" s="4"/>
      <c r="D97" s="16"/>
      <c r="E97" s="24">
        <v>170522</v>
      </c>
      <c r="F97" s="13">
        <f t="shared" si="1"/>
        <v>173022.00000000006</v>
      </c>
    </row>
    <row r="98" spans="1:6" ht="15" customHeight="1" x14ac:dyDescent="0.25">
      <c r="A98" s="8">
        <v>46121</v>
      </c>
      <c r="B98" s="7" t="s">
        <v>149</v>
      </c>
      <c r="C98" s="6"/>
      <c r="D98" s="15"/>
      <c r="E98" s="26">
        <v>49090</v>
      </c>
      <c r="F98" s="13">
        <f t="shared" si="1"/>
        <v>222112.00000000006</v>
      </c>
    </row>
    <row r="99" spans="1:6" ht="15" customHeight="1" x14ac:dyDescent="0.25">
      <c r="A99" s="9">
        <v>46121</v>
      </c>
      <c r="B99" s="5" t="s">
        <v>150</v>
      </c>
      <c r="C99" s="4"/>
      <c r="D99" s="16"/>
      <c r="E99" s="24">
        <v>15270</v>
      </c>
      <c r="F99" s="13">
        <f t="shared" si="1"/>
        <v>237382.00000000006</v>
      </c>
    </row>
    <row r="100" spans="1:6" ht="15" customHeight="1" x14ac:dyDescent="0.25">
      <c r="A100" s="8">
        <v>46121</v>
      </c>
      <c r="B100" s="7" t="s">
        <v>151</v>
      </c>
      <c r="C100" s="6"/>
      <c r="D100" s="15"/>
      <c r="E100" s="26">
        <v>87897</v>
      </c>
      <c r="F100" s="13">
        <f t="shared" si="1"/>
        <v>325279.00000000006</v>
      </c>
    </row>
    <row r="101" spans="1:6" ht="15" customHeight="1" x14ac:dyDescent="0.25">
      <c r="A101" s="9">
        <v>46121</v>
      </c>
      <c r="B101" s="5" t="s">
        <v>152</v>
      </c>
      <c r="C101" s="4"/>
      <c r="D101" s="16"/>
      <c r="E101" s="24">
        <v>10000</v>
      </c>
      <c r="F101" s="13">
        <f t="shared" si="1"/>
        <v>335279.00000000006</v>
      </c>
    </row>
    <row r="102" spans="1:6" ht="15" customHeight="1" x14ac:dyDescent="0.25">
      <c r="A102" s="8">
        <v>46121</v>
      </c>
      <c r="B102" s="7" t="s">
        <v>153</v>
      </c>
      <c r="C102" s="6"/>
      <c r="D102" s="15"/>
      <c r="E102" s="26">
        <v>2598</v>
      </c>
      <c r="F102" s="13">
        <f t="shared" si="1"/>
        <v>337877.00000000006</v>
      </c>
    </row>
    <row r="103" spans="1:6" ht="15" customHeight="1" x14ac:dyDescent="0.25">
      <c r="A103" s="9">
        <v>46121</v>
      </c>
      <c r="B103" s="5" t="s">
        <v>154</v>
      </c>
      <c r="C103" s="4"/>
      <c r="D103" s="16"/>
      <c r="E103" s="24">
        <v>44741</v>
      </c>
      <c r="F103" s="13">
        <f t="shared" si="1"/>
        <v>382618.00000000006</v>
      </c>
    </row>
    <row r="104" spans="1:6" ht="15" customHeight="1" x14ac:dyDescent="0.25">
      <c r="A104" s="8">
        <v>46121</v>
      </c>
      <c r="B104" s="7" t="s">
        <v>155</v>
      </c>
      <c r="C104" s="6"/>
      <c r="D104" s="22">
        <v>380118</v>
      </c>
      <c r="E104" s="15"/>
      <c r="F104" s="13">
        <f t="shared" si="1"/>
        <v>2500.0000000000582</v>
      </c>
    </row>
    <row r="105" spans="1:6" ht="15" customHeight="1" x14ac:dyDescent="0.25">
      <c r="A105" s="9">
        <v>46121</v>
      </c>
      <c r="B105" s="5" t="s">
        <v>156</v>
      </c>
      <c r="C105" s="4"/>
      <c r="D105" s="16"/>
      <c r="E105" s="24">
        <v>63308</v>
      </c>
      <c r="F105" s="13">
        <f t="shared" si="1"/>
        <v>65808.000000000058</v>
      </c>
    </row>
    <row r="106" spans="1:6" ht="15" customHeight="1" x14ac:dyDescent="0.25">
      <c r="A106" s="8">
        <v>46122</v>
      </c>
      <c r="B106" s="7" t="s">
        <v>157</v>
      </c>
      <c r="C106" s="6"/>
      <c r="D106" s="15"/>
      <c r="E106" s="26">
        <v>310276</v>
      </c>
      <c r="F106" s="13">
        <f t="shared" si="1"/>
        <v>376084.00000000006</v>
      </c>
    </row>
    <row r="107" spans="1:6" ht="15" customHeight="1" x14ac:dyDescent="0.25">
      <c r="A107" s="9">
        <v>46122</v>
      </c>
      <c r="B107" s="5" t="s">
        <v>158</v>
      </c>
      <c r="C107" s="4"/>
      <c r="D107" s="16"/>
      <c r="E107" s="24">
        <v>59415</v>
      </c>
      <c r="F107" s="13">
        <f t="shared" si="1"/>
        <v>435499.00000000006</v>
      </c>
    </row>
    <row r="108" spans="1:6" ht="15" customHeight="1" x14ac:dyDescent="0.25">
      <c r="A108" s="8">
        <v>46122</v>
      </c>
      <c r="B108" s="7" t="s">
        <v>159</v>
      </c>
      <c r="C108" s="6"/>
      <c r="D108" s="22">
        <v>432999</v>
      </c>
      <c r="E108" s="15"/>
      <c r="F108" s="13">
        <f t="shared" si="1"/>
        <v>2500.0000000000582</v>
      </c>
    </row>
    <row r="109" spans="1:6" ht="15" customHeight="1" x14ac:dyDescent="0.25">
      <c r="A109" s="9">
        <v>46122</v>
      </c>
      <c r="B109" s="5" t="s">
        <v>160</v>
      </c>
      <c r="C109" s="4"/>
      <c r="D109" s="16"/>
      <c r="E109" s="24">
        <v>23400</v>
      </c>
      <c r="F109" s="13">
        <f t="shared" si="1"/>
        <v>25900.000000000058</v>
      </c>
    </row>
    <row r="110" spans="1:6" ht="15" customHeight="1" x14ac:dyDescent="0.25">
      <c r="A110" s="8">
        <v>46122</v>
      </c>
      <c r="B110" s="7" t="s">
        <v>161</v>
      </c>
      <c r="C110" s="6" t="s">
        <v>162</v>
      </c>
      <c r="D110" s="22">
        <v>0</v>
      </c>
      <c r="E110" s="22">
        <v>3165</v>
      </c>
      <c r="F110" s="13">
        <f t="shared" si="1"/>
        <v>29065.000000000058</v>
      </c>
    </row>
    <row r="111" spans="1:6" ht="15" customHeight="1" x14ac:dyDescent="0.25">
      <c r="A111" s="9">
        <v>46122</v>
      </c>
      <c r="B111" s="5" t="s">
        <v>163</v>
      </c>
      <c r="C111" s="4"/>
      <c r="D111" s="16"/>
      <c r="E111" s="24">
        <v>23121</v>
      </c>
      <c r="F111" s="13">
        <f t="shared" si="1"/>
        <v>52186.000000000058</v>
      </c>
    </row>
    <row r="112" spans="1:6" ht="15" customHeight="1" x14ac:dyDescent="0.25">
      <c r="A112" s="8">
        <v>46122</v>
      </c>
      <c r="B112" s="7" t="s">
        <v>164</v>
      </c>
      <c r="C112" s="6"/>
      <c r="D112" s="22">
        <v>49686</v>
      </c>
      <c r="E112" s="15"/>
      <c r="F112" s="13">
        <f t="shared" si="1"/>
        <v>2500.0000000000582</v>
      </c>
    </row>
    <row r="113" spans="1:6" ht="15" customHeight="1" x14ac:dyDescent="0.25">
      <c r="A113" s="9">
        <v>46122</v>
      </c>
      <c r="B113" s="5" t="s">
        <v>165</v>
      </c>
      <c r="C113" s="4"/>
      <c r="D113" s="16"/>
      <c r="E113" s="24">
        <v>5273</v>
      </c>
      <c r="F113" s="13">
        <f t="shared" si="1"/>
        <v>7773.0000000000582</v>
      </c>
    </row>
    <row r="114" spans="1:6" ht="15" customHeight="1" x14ac:dyDescent="0.25">
      <c r="A114" s="8">
        <v>46122</v>
      </c>
      <c r="B114" s="7" t="s">
        <v>166</v>
      </c>
      <c r="C114" s="6"/>
      <c r="D114" s="15"/>
      <c r="E114" s="26">
        <v>7922</v>
      </c>
      <c r="F114" s="13">
        <f t="shared" si="1"/>
        <v>15695.000000000058</v>
      </c>
    </row>
    <row r="115" spans="1:6" ht="15" customHeight="1" x14ac:dyDescent="0.25">
      <c r="A115" s="9">
        <v>46122</v>
      </c>
      <c r="B115" s="5" t="s">
        <v>167</v>
      </c>
      <c r="C115" s="4" t="s">
        <v>168</v>
      </c>
      <c r="D115" s="16"/>
      <c r="E115" s="23">
        <v>220</v>
      </c>
      <c r="F115" s="13">
        <f t="shared" si="1"/>
        <v>15915.000000000058</v>
      </c>
    </row>
    <row r="116" spans="1:6" ht="15" customHeight="1" x14ac:dyDescent="0.25">
      <c r="A116" s="8">
        <v>46123</v>
      </c>
      <c r="B116" s="7" t="s">
        <v>169</v>
      </c>
      <c r="C116" s="6"/>
      <c r="D116" s="15"/>
      <c r="E116" s="26">
        <v>217794</v>
      </c>
      <c r="F116" s="13">
        <f t="shared" si="1"/>
        <v>233709.00000000006</v>
      </c>
    </row>
    <row r="117" spans="1:6" ht="15" customHeight="1" x14ac:dyDescent="0.25">
      <c r="A117" s="9">
        <v>46123</v>
      </c>
      <c r="B117" s="5" t="s">
        <v>170</v>
      </c>
      <c r="C117" s="4"/>
      <c r="D117" s="16"/>
      <c r="E117" s="24">
        <v>58786</v>
      </c>
      <c r="F117" s="13">
        <f t="shared" si="1"/>
        <v>292495.00000000006</v>
      </c>
    </row>
    <row r="118" spans="1:6" ht="15" customHeight="1" x14ac:dyDescent="0.25">
      <c r="A118" s="8">
        <v>46123</v>
      </c>
      <c r="B118" s="7" t="s">
        <v>171</v>
      </c>
      <c r="C118" s="6"/>
      <c r="D118" s="15"/>
      <c r="E118" s="26">
        <v>66738</v>
      </c>
      <c r="F118" s="13">
        <f t="shared" si="1"/>
        <v>359233.00000000006</v>
      </c>
    </row>
    <row r="119" spans="1:6" ht="15" customHeight="1" x14ac:dyDescent="0.25">
      <c r="A119" s="9">
        <v>46123</v>
      </c>
      <c r="B119" s="5" t="s">
        <v>172</v>
      </c>
      <c r="C119" s="4"/>
      <c r="D119" s="16"/>
      <c r="E119" s="24">
        <v>28720</v>
      </c>
      <c r="F119" s="13">
        <f t="shared" si="1"/>
        <v>387953.00000000006</v>
      </c>
    </row>
    <row r="120" spans="1:6" ht="15" customHeight="1" x14ac:dyDescent="0.25">
      <c r="A120" s="8">
        <v>46123</v>
      </c>
      <c r="B120" s="7" t="s">
        <v>173</v>
      </c>
      <c r="C120" s="6"/>
      <c r="D120" s="15"/>
      <c r="E120" s="26">
        <v>92275</v>
      </c>
      <c r="F120" s="13">
        <f t="shared" si="1"/>
        <v>480228.00000000006</v>
      </c>
    </row>
    <row r="121" spans="1:6" ht="15" customHeight="1" x14ac:dyDescent="0.25">
      <c r="A121" s="9">
        <v>46123</v>
      </c>
      <c r="B121" s="5" t="s">
        <v>174</v>
      </c>
      <c r="C121" s="4"/>
      <c r="D121" s="16"/>
      <c r="E121" s="24">
        <v>25996</v>
      </c>
      <c r="F121" s="13">
        <f t="shared" si="1"/>
        <v>506224.00000000006</v>
      </c>
    </row>
    <row r="122" spans="1:6" ht="15" customHeight="1" x14ac:dyDescent="0.25">
      <c r="A122" s="8">
        <v>46123</v>
      </c>
      <c r="B122" s="7" t="s">
        <v>175</v>
      </c>
      <c r="C122" s="6"/>
      <c r="D122" s="22">
        <v>28890</v>
      </c>
      <c r="E122" s="15"/>
      <c r="F122" s="13">
        <f t="shared" si="1"/>
        <v>477334.00000000006</v>
      </c>
    </row>
    <row r="123" spans="1:6" ht="15" customHeight="1" x14ac:dyDescent="0.25">
      <c r="A123" s="9">
        <v>46123</v>
      </c>
      <c r="B123" s="5" t="s">
        <v>176</v>
      </c>
      <c r="C123" s="4"/>
      <c r="D123" s="19">
        <v>390</v>
      </c>
      <c r="E123" s="16"/>
      <c r="F123" s="13">
        <f t="shared" si="1"/>
        <v>476944.00000000006</v>
      </c>
    </row>
    <row r="124" spans="1:6" ht="15" customHeight="1" x14ac:dyDescent="0.25">
      <c r="A124" s="8">
        <v>46123</v>
      </c>
      <c r="B124" s="7" t="s">
        <v>177</v>
      </c>
      <c r="C124" s="6" t="s">
        <v>178</v>
      </c>
      <c r="D124" s="22">
        <v>3050</v>
      </c>
      <c r="E124" s="15"/>
      <c r="F124" s="13">
        <f t="shared" si="1"/>
        <v>473894.00000000006</v>
      </c>
    </row>
    <row r="125" spans="1:6" ht="15" customHeight="1" x14ac:dyDescent="0.25">
      <c r="A125" s="9">
        <v>46123</v>
      </c>
      <c r="B125" s="5" t="s">
        <v>179</v>
      </c>
      <c r="C125" s="4" t="s">
        <v>180</v>
      </c>
      <c r="D125" s="20">
        <v>2510</v>
      </c>
      <c r="E125" s="16"/>
      <c r="F125" s="13">
        <f t="shared" si="1"/>
        <v>471384.00000000006</v>
      </c>
    </row>
    <row r="126" spans="1:6" ht="15" customHeight="1" x14ac:dyDescent="0.25">
      <c r="A126" s="8">
        <v>46123</v>
      </c>
      <c r="B126" s="7" t="s">
        <v>181</v>
      </c>
      <c r="C126" s="6"/>
      <c r="D126" s="21">
        <v>2.65</v>
      </c>
      <c r="E126" s="15"/>
      <c r="F126" s="13">
        <f t="shared" si="1"/>
        <v>471381.35000000003</v>
      </c>
    </row>
    <row r="127" spans="1:6" ht="15" customHeight="1" x14ac:dyDescent="0.25">
      <c r="A127" s="9">
        <v>46123</v>
      </c>
      <c r="B127" s="5" t="s">
        <v>182</v>
      </c>
      <c r="C127" s="4"/>
      <c r="D127" s="20">
        <v>8334</v>
      </c>
      <c r="E127" s="16"/>
      <c r="F127" s="13">
        <f t="shared" si="1"/>
        <v>463047.35000000003</v>
      </c>
    </row>
    <row r="128" spans="1:6" ht="15" customHeight="1" x14ac:dyDescent="0.25">
      <c r="A128" s="8">
        <v>46123</v>
      </c>
      <c r="B128" s="7" t="s">
        <v>183</v>
      </c>
      <c r="C128" s="6"/>
      <c r="D128" s="21">
        <v>5.6</v>
      </c>
      <c r="E128" s="15"/>
      <c r="F128" s="13">
        <f t="shared" si="1"/>
        <v>463041.75000000006</v>
      </c>
    </row>
    <row r="129" spans="1:6" ht="15" customHeight="1" x14ac:dyDescent="0.25">
      <c r="A129" s="9">
        <v>46123</v>
      </c>
      <c r="B129" s="5" t="s">
        <v>184</v>
      </c>
      <c r="C129" s="4"/>
      <c r="D129" s="20">
        <v>16015</v>
      </c>
      <c r="E129" s="16"/>
      <c r="F129" s="13">
        <f t="shared" si="1"/>
        <v>447026.75000000006</v>
      </c>
    </row>
    <row r="130" spans="1:6" ht="15" customHeight="1" x14ac:dyDescent="0.25">
      <c r="A130" s="8">
        <v>46123</v>
      </c>
      <c r="B130" s="7" t="s">
        <v>185</v>
      </c>
      <c r="C130" s="6"/>
      <c r="D130" s="21">
        <v>5.6</v>
      </c>
      <c r="E130" s="15"/>
      <c r="F130" s="13">
        <f t="shared" si="1"/>
        <v>447021.15000000008</v>
      </c>
    </row>
    <row r="131" spans="1:6" ht="15" customHeight="1" x14ac:dyDescent="0.25">
      <c r="A131" s="9">
        <v>46123</v>
      </c>
      <c r="B131" s="5" t="s">
        <v>186</v>
      </c>
      <c r="C131" s="4"/>
      <c r="D131" s="20">
        <v>12121</v>
      </c>
      <c r="E131" s="16"/>
      <c r="F131" s="13">
        <f t="shared" si="1"/>
        <v>434900.15000000008</v>
      </c>
    </row>
    <row r="132" spans="1:6" ht="15" customHeight="1" x14ac:dyDescent="0.25">
      <c r="A132" s="8">
        <v>46123</v>
      </c>
      <c r="B132" s="7" t="s">
        <v>187</v>
      </c>
      <c r="C132" s="6"/>
      <c r="D132" s="21">
        <v>5.6</v>
      </c>
      <c r="E132" s="15"/>
      <c r="F132" s="13">
        <f t="shared" ref="F132:F195" si="2">+F131-D132+E132</f>
        <v>434894.5500000001</v>
      </c>
    </row>
    <row r="133" spans="1:6" ht="15" customHeight="1" x14ac:dyDescent="0.25">
      <c r="A133" s="9">
        <v>46123</v>
      </c>
      <c r="B133" s="5" t="s">
        <v>188</v>
      </c>
      <c r="C133" s="4"/>
      <c r="D133" s="20">
        <v>12121</v>
      </c>
      <c r="E133" s="16"/>
      <c r="F133" s="13">
        <f t="shared" si="2"/>
        <v>422773.5500000001</v>
      </c>
    </row>
    <row r="134" spans="1:6" ht="15" customHeight="1" x14ac:dyDescent="0.25">
      <c r="A134" s="8">
        <v>46123</v>
      </c>
      <c r="B134" s="7" t="s">
        <v>189</v>
      </c>
      <c r="C134" s="6"/>
      <c r="D134" s="21">
        <v>5.6</v>
      </c>
      <c r="E134" s="15"/>
      <c r="F134" s="13">
        <f t="shared" si="2"/>
        <v>422767.95000000013</v>
      </c>
    </row>
    <row r="135" spans="1:6" ht="15" customHeight="1" x14ac:dyDescent="0.25">
      <c r="A135" s="9">
        <v>46123</v>
      </c>
      <c r="B135" s="5" t="s">
        <v>190</v>
      </c>
      <c r="C135" s="4"/>
      <c r="D135" s="20">
        <v>12121</v>
      </c>
      <c r="E135" s="16"/>
      <c r="F135" s="13">
        <f t="shared" si="2"/>
        <v>410646.95000000013</v>
      </c>
    </row>
    <row r="136" spans="1:6" ht="15" customHeight="1" x14ac:dyDescent="0.25">
      <c r="A136" s="8">
        <v>46123</v>
      </c>
      <c r="B136" s="7" t="s">
        <v>191</v>
      </c>
      <c r="C136" s="6"/>
      <c r="D136" s="21">
        <v>5.6</v>
      </c>
      <c r="E136" s="15"/>
      <c r="F136" s="13">
        <f t="shared" si="2"/>
        <v>410641.35000000015</v>
      </c>
    </row>
    <row r="137" spans="1:6" ht="15" customHeight="1" x14ac:dyDescent="0.25">
      <c r="A137" s="9">
        <v>46123</v>
      </c>
      <c r="B137" s="5" t="s">
        <v>192</v>
      </c>
      <c r="C137" s="4"/>
      <c r="D137" s="20">
        <v>12121</v>
      </c>
      <c r="E137" s="16"/>
      <c r="F137" s="13">
        <f t="shared" si="2"/>
        <v>398520.35000000015</v>
      </c>
    </row>
    <row r="138" spans="1:6" ht="15" customHeight="1" x14ac:dyDescent="0.25">
      <c r="A138" s="8">
        <v>46123</v>
      </c>
      <c r="B138" s="7" t="s">
        <v>193</v>
      </c>
      <c r="C138" s="6"/>
      <c r="D138" s="21">
        <v>5.6</v>
      </c>
      <c r="E138" s="15"/>
      <c r="F138" s="13">
        <f t="shared" si="2"/>
        <v>398514.75000000017</v>
      </c>
    </row>
    <row r="139" spans="1:6" ht="15" customHeight="1" x14ac:dyDescent="0.25">
      <c r="A139" s="9">
        <v>46123</v>
      </c>
      <c r="B139" s="5" t="s">
        <v>194</v>
      </c>
      <c r="C139" s="4"/>
      <c r="D139" s="20">
        <v>12121</v>
      </c>
      <c r="E139" s="16"/>
      <c r="F139" s="13">
        <f t="shared" si="2"/>
        <v>386393.75000000017</v>
      </c>
    </row>
    <row r="140" spans="1:6" ht="15" customHeight="1" x14ac:dyDescent="0.25">
      <c r="A140" s="8">
        <v>46123</v>
      </c>
      <c r="B140" s="7" t="s">
        <v>195</v>
      </c>
      <c r="C140" s="6"/>
      <c r="D140" s="21">
        <v>5.6</v>
      </c>
      <c r="E140" s="15"/>
      <c r="F140" s="13">
        <f t="shared" si="2"/>
        <v>386388.1500000002</v>
      </c>
    </row>
    <row r="141" spans="1:6" ht="15" customHeight="1" x14ac:dyDescent="0.25">
      <c r="A141" s="9">
        <v>46123</v>
      </c>
      <c r="B141" s="5" t="s">
        <v>196</v>
      </c>
      <c r="C141" s="4"/>
      <c r="D141" s="20">
        <v>12121</v>
      </c>
      <c r="E141" s="16"/>
      <c r="F141" s="13">
        <f t="shared" si="2"/>
        <v>374267.1500000002</v>
      </c>
    </row>
    <row r="142" spans="1:6" ht="15" customHeight="1" x14ac:dyDescent="0.25">
      <c r="A142" s="8">
        <v>46123</v>
      </c>
      <c r="B142" s="7" t="s">
        <v>197</v>
      </c>
      <c r="C142" s="6"/>
      <c r="D142" s="22">
        <v>353767.15</v>
      </c>
      <c r="E142" s="15"/>
      <c r="F142" s="13">
        <f t="shared" si="2"/>
        <v>20500.000000000175</v>
      </c>
    </row>
    <row r="143" spans="1:6" ht="15" customHeight="1" x14ac:dyDescent="0.25">
      <c r="A143" s="9">
        <v>46123</v>
      </c>
      <c r="B143" s="5" t="s">
        <v>198</v>
      </c>
      <c r="C143" s="4"/>
      <c r="D143" s="16"/>
      <c r="E143" s="24">
        <v>9044</v>
      </c>
      <c r="F143" s="13">
        <f t="shared" si="2"/>
        <v>29544.000000000175</v>
      </c>
    </row>
    <row r="144" spans="1:6" ht="15" customHeight="1" x14ac:dyDescent="0.25">
      <c r="A144" s="8">
        <v>46123</v>
      </c>
      <c r="B144" s="7" t="s">
        <v>199</v>
      </c>
      <c r="C144" s="6" t="s">
        <v>200</v>
      </c>
      <c r="D144" s="22">
        <v>0</v>
      </c>
      <c r="E144" s="22">
        <v>1808</v>
      </c>
      <c r="F144" s="13">
        <f>+F143-D144+E144</f>
        <v>31352.000000000175</v>
      </c>
    </row>
    <row r="145" spans="1:6" ht="15" customHeight="1" x14ac:dyDescent="0.25">
      <c r="A145" s="9">
        <v>46124</v>
      </c>
      <c r="B145" s="5" t="s">
        <v>201</v>
      </c>
      <c r="C145" s="4"/>
      <c r="D145" s="16"/>
      <c r="E145" s="24">
        <v>316091.5</v>
      </c>
      <c r="F145" s="13">
        <f t="shared" si="2"/>
        <v>347443.50000000017</v>
      </c>
    </row>
    <row r="146" spans="1:6" ht="15" customHeight="1" x14ac:dyDescent="0.25">
      <c r="A146" s="8">
        <v>46124</v>
      </c>
      <c r="B146" s="7" t="s">
        <v>202</v>
      </c>
      <c r="C146" s="6"/>
      <c r="D146" s="15"/>
      <c r="E146" s="26">
        <v>74921.89</v>
      </c>
      <c r="F146" s="13">
        <f t="shared" si="2"/>
        <v>422365.39000000019</v>
      </c>
    </row>
    <row r="147" spans="1:6" ht="15" customHeight="1" x14ac:dyDescent="0.25">
      <c r="A147" s="9">
        <v>46124</v>
      </c>
      <c r="B147" s="5" t="s">
        <v>203</v>
      </c>
      <c r="C147" s="4"/>
      <c r="D147" s="16"/>
      <c r="E147" s="24">
        <v>16623</v>
      </c>
      <c r="F147" s="13">
        <f t="shared" si="2"/>
        <v>438988.39000000019</v>
      </c>
    </row>
    <row r="148" spans="1:6" ht="15" customHeight="1" x14ac:dyDescent="0.25">
      <c r="A148" s="8">
        <v>46124</v>
      </c>
      <c r="B148" s="7" t="s">
        <v>204</v>
      </c>
      <c r="C148" s="6"/>
      <c r="D148" s="15"/>
      <c r="E148" s="26">
        <v>63308</v>
      </c>
      <c r="F148" s="13">
        <f t="shared" si="2"/>
        <v>502296.39000000019</v>
      </c>
    </row>
    <row r="149" spans="1:6" ht="15" customHeight="1" x14ac:dyDescent="0.25">
      <c r="A149" s="9">
        <v>46124</v>
      </c>
      <c r="B149" s="5" t="s">
        <v>205</v>
      </c>
      <c r="C149" s="4" t="s">
        <v>206</v>
      </c>
      <c r="D149" s="20">
        <v>0</v>
      </c>
      <c r="E149" s="20">
        <v>1808</v>
      </c>
      <c r="F149" s="13">
        <f t="shared" si="2"/>
        <v>504104.39000000019</v>
      </c>
    </row>
    <row r="150" spans="1:6" ht="15" customHeight="1" x14ac:dyDescent="0.25">
      <c r="A150" s="8">
        <v>46124</v>
      </c>
      <c r="B150" s="7" t="s">
        <v>207</v>
      </c>
      <c r="C150" s="6" t="s">
        <v>208</v>
      </c>
      <c r="D150" s="15"/>
      <c r="E150" s="26">
        <v>10000</v>
      </c>
      <c r="F150" s="13">
        <f t="shared" si="2"/>
        <v>514104.39000000019</v>
      </c>
    </row>
    <row r="151" spans="1:6" ht="15" customHeight="1" x14ac:dyDescent="0.25">
      <c r="A151" s="9">
        <v>46124</v>
      </c>
      <c r="B151" s="5" t="s">
        <v>209</v>
      </c>
      <c r="C151" s="4"/>
      <c r="D151" s="16"/>
      <c r="E151" s="24">
        <v>9677</v>
      </c>
      <c r="F151" s="13">
        <f t="shared" si="2"/>
        <v>523781.39000000019</v>
      </c>
    </row>
    <row r="152" spans="1:6" ht="15" customHeight="1" x14ac:dyDescent="0.25">
      <c r="A152" s="8">
        <v>46124</v>
      </c>
      <c r="B152" s="7" t="s">
        <v>210</v>
      </c>
      <c r="C152" s="6"/>
      <c r="D152" s="22">
        <v>521281.39</v>
      </c>
      <c r="E152" s="15"/>
      <c r="F152" s="13">
        <f t="shared" si="2"/>
        <v>2500.0000000001746</v>
      </c>
    </row>
    <row r="153" spans="1:6" ht="15" customHeight="1" x14ac:dyDescent="0.25">
      <c r="A153" s="9">
        <v>46125</v>
      </c>
      <c r="B153" s="5" t="s">
        <v>211</v>
      </c>
      <c r="C153" s="4"/>
      <c r="D153" s="16"/>
      <c r="E153" s="24">
        <v>250095</v>
      </c>
      <c r="F153" s="13">
        <f t="shared" si="2"/>
        <v>252595.00000000017</v>
      </c>
    </row>
    <row r="154" spans="1:6" ht="15" customHeight="1" x14ac:dyDescent="0.25">
      <c r="A154" s="8">
        <v>46125</v>
      </c>
      <c r="B154" s="7" t="s">
        <v>212</v>
      </c>
      <c r="C154" s="6"/>
      <c r="D154" s="15"/>
      <c r="E154" s="26">
        <v>73380.929999999993</v>
      </c>
      <c r="F154" s="13">
        <f t="shared" si="2"/>
        <v>325975.93000000017</v>
      </c>
    </row>
    <row r="155" spans="1:6" ht="15" customHeight="1" x14ac:dyDescent="0.25">
      <c r="A155" s="9">
        <v>46125</v>
      </c>
      <c r="B155" s="5" t="s">
        <v>213</v>
      </c>
      <c r="C155" s="4"/>
      <c r="D155" s="16"/>
      <c r="E155" s="24">
        <v>13800</v>
      </c>
      <c r="F155" s="13">
        <f t="shared" si="2"/>
        <v>339775.93000000017</v>
      </c>
    </row>
    <row r="156" spans="1:6" ht="15" customHeight="1" x14ac:dyDescent="0.25">
      <c r="A156" s="8">
        <v>46125</v>
      </c>
      <c r="B156" s="7" t="s">
        <v>214</v>
      </c>
      <c r="C156" s="6"/>
      <c r="D156" s="22">
        <v>1000</v>
      </c>
      <c r="E156" s="15"/>
      <c r="F156" s="13">
        <f t="shared" si="2"/>
        <v>338775.93000000017</v>
      </c>
    </row>
    <row r="157" spans="1:6" ht="15" customHeight="1" x14ac:dyDescent="0.25">
      <c r="A157" s="9">
        <v>46125</v>
      </c>
      <c r="B157" s="5" t="s">
        <v>215</v>
      </c>
      <c r="C157" s="4"/>
      <c r="D157" s="16"/>
      <c r="E157" s="24">
        <v>47686</v>
      </c>
      <c r="F157" s="13">
        <f t="shared" si="2"/>
        <v>386461.93000000017</v>
      </c>
    </row>
    <row r="158" spans="1:6" ht="15" customHeight="1" x14ac:dyDescent="0.25">
      <c r="A158" s="8">
        <v>46125</v>
      </c>
      <c r="B158" s="7" t="s">
        <v>216</v>
      </c>
      <c r="C158" s="6" t="s">
        <v>217</v>
      </c>
      <c r="D158" s="22">
        <v>2000</v>
      </c>
      <c r="E158" s="15"/>
      <c r="F158" s="13">
        <f t="shared" si="2"/>
        <v>384461.93000000017</v>
      </c>
    </row>
    <row r="159" spans="1:6" ht="15" customHeight="1" x14ac:dyDescent="0.25">
      <c r="A159" s="9">
        <v>46125</v>
      </c>
      <c r="B159" s="5" t="s">
        <v>218</v>
      </c>
      <c r="C159" s="4" t="s">
        <v>219</v>
      </c>
      <c r="D159" s="20">
        <v>1000</v>
      </c>
      <c r="E159" s="16"/>
      <c r="F159" s="13">
        <f t="shared" si="2"/>
        <v>383461.93000000017</v>
      </c>
    </row>
    <row r="160" spans="1:6" ht="15" customHeight="1" x14ac:dyDescent="0.25">
      <c r="A160" s="8">
        <v>46125</v>
      </c>
      <c r="B160" s="7" t="s">
        <v>220</v>
      </c>
      <c r="C160" s="6"/>
      <c r="D160" s="15"/>
      <c r="E160" s="26">
        <v>124000</v>
      </c>
      <c r="F160" s="13">
        <f t="shared" si="2"/>
        <v>507461.93000000017</v>
      </c>
    </row>
    <row r="161" spans="1:6" ht="15" customHeight="1" x14ac:dyDescent="0.25">
      <c r="A161" s="9">
        <v>46125</v>
      </c>
      <c r="B161" s="5" t="s">
        <v>221</v>
      </c>
      <c r="C161" s="4" t="s">
        <v>222</v>
      </c>
      <c r="D161" s="20">
        <v>0</v>
      </c>
      <c r="E161" s="20">
        <v>2261</v>
      </c>
      <c r="F161" s="13">
        <f t="shared" si="2"/>
        <v>509722.93000000017</v>
      </c>
    </row>
    <row r="162" spans="1:6" ht="15" customHeight="1" x14ac:dyDescent="0.25">
      <c r="A162" s="8">
        <v>46125</v>
      </c>
      <c r="B162" s="7" t="s">
        <v>223</v>
      </c>
      <c r="C162" s="6" t="s">
        <v>224</v>
      </c>
      <c r="D162" s="22">
        <v>3300</v>
      </c>
      <c r="E162" s="15"/>
      <c r="F162" s="13">
        <f t="shared" si="2"/>
        <v>506422.93000000017</v>
      </c>
    </row>
    <row r="163" spans="1:6" ht="15" customHeight="1" x14ac:dyDescent="0.25">
      <c r="A163" s="9">
        <v>46125</v>
      </c>
      <c r="B163" s="5" t="s">
        <v>225</v>
      </c>
      <c r="C163" s="4"/>
      <c r="D163" s="16"/>
      <c r="E163" s="24">
        <v>102789</v>
      </c>
      <c r="F163" s="13">
        <f t="shared" si="2"/>
        <v>609211.93000000017</v>
      </c>
    </row>
    <row r="164" spans="1:6" ht="15" customHeight="1" x14ac:dyDescent="0.25">
      <c r="A164" s="8">
        <v>46125</v>
      </c>
      <c r="B164" s="7" t="s">
        <v>226</v>
      </c>
      <c r="C164" s="6"/>
      <c r="D164" s="21">
        <v>2.65</v>
      </c>
      <c r="E164" s="15"/>
      <c r="F164" s="13">
        <f t="shared" si="2"/>
        <v>609209.28000000014</v>
      </c>
    </row>
    <row r="165" spans="1:6" ht="15" customHeight="1" x14ac:dyDescent="0.25">
      <c r="A165" s="9">
        <v>46125</v>
      </c>
      <c r="B165" s="5" t="s">
        <v>227</v>
      </c>
      <c r="C165" s="4"/>
      <c r="D165" s="20">
        <v>2065</v>
      </c>
      <c r="E165" s="16"/>
      <c r="F165" s="13">
        <f t="shared" si="2"/>
        <v>607144.28000000014</v>
      </c>
    </row>
    <row r="166" spans="1:6" ht="15" customHeight="1" x14ac:dyDescent="0.25">
      <c r="A166" s="8">
        <v>46125</v>
      </c>
      <c r="B166" s="7" t="s">
        <v>228</v>
      </c>
      <c r="C166" s="6"/>
      <c r="D166" s="15"/>
      <c r="E166" s="26">
        <v>5800</v>
      </c>
      <c r="F166" s="13">
        <f t="shared" si="2"/>
        <v>612944.28000000014</v>
      </c>
    </row>
    <row r="167" spans="1:6" ht="15" customHeight="1" x14ac:dyDescent="0.25">
      <c r="A167" s="9">
        <v>46125</v>
      </c>
      <c r="B167" s="5" t="s">
        <v>229</v>
      </c>
      <c r="C167" s="4"/>
      <c r="D167" s="20">
        <v>610444.28</v>
      </c>
      <c r="E167" s="16"/>
      <c r="F167" s="13">
        <f t="shared" si="2"/>
        <v>2500.0000000001164</v>
      </c>
    </row>
    <row r="168" spans="1:6" ht="15" customHeight="1" x14ac:dyDescent="0.25">
      <c r="A168" s="8">
        <v>46125</v>
      </c>
      <c r="B168" s="7" t="s">
        <v>230</v>
      </c>
      <c r="C168" s="6"/>
      <c r="D168" s="15"/>
      <c r="E168" s="26">
        <v>128900</v>
      </c>
      <c r="F168" s="13">
        <f t="shared" si="2"/>
        <v>131400.00000000012</v>
      </c>
    </row>
    <row r="169" spans="1:6" ht="15" customHeight="1" x14ac:dyDescent="0.25">
      <c r="A169" s="9">
        <v>46125</v>
      </c>
      <c r="B169" s="5" t="s">
        <v>231</v>
      </c>
      <c r="C169" s="4"/>
      <c r="D169" s="16"/>
      <c r="E169" s="24">
        <v>4415</v>
      </c>
      <c r="F169" s="13">
        <f t="shared" si="2"/>
        <v>135815.00000000012</v>
      </c>
    </row>
    <row r="170" spans="1:6" ht="15" customHeight="1" x14ac:dyDescent="0.25">
      <c r="A170" s="8">
        <v>46125</v>
      </c>
      <c r="B170" s="7" t="s">
        <v>232</v>
      </c>
      <c r="C170" s="6"/>
      <c r="D170" s="15"/>
      <c r="E170" s="26">
        <v>12678.78</v>
      </c>
      <c r="F170" s="13">
        <f t="shared" si="2"/>
        <v>148493.78000000012</v>
      </c>
    </row>
    <row r="171" spans="1:6" ht="15" customHeight="1" x14ac:dyDescent="0.25">
      <c r="A171" s="9">
        <v>46125</v>
      </c>
      <c r="B171" s="5" t="s">
        <v>233</v>
      </c>
      <c r="C171" s="4"/>
      <c r="D171" s="20">
        <v>107993.78</v>
      </c>
      <c r="E171" s="16"/>
      <c r="F171" s="13">
        <f t="shared" si="2"/>
        <v>40500.000000000116</v>
      </c>
    </row>
    <row r="172" spans="1:6" ht="15" customHeight="1" x14ac:dyDescent="0.25">
      <c r="A172" s="8">
        <v>46125</v>
      </c>
      <c r="B172" s="7" t="s">
        <v>234</v>
      </c>
      <c r="C172" s="6" t="s">
        <v>235</v>
      </c>
      <c r="D172" s="22">
        <v>16000</v>
      </c>
      <c r="E172" s="15"/>
      <c r="F172" s="13">
        <f t="shared" si="2"/>
        <v>24500.000000000116</v>
      </c>
    </row>
    <row r="173" spans="1:6" ht="15" customHeight="1" x14ac:dyDescent="0.25">
      <c r="A173" s="9">
        <v>46125</v>
      </c>
      <c r="B173" s="5" t="s">
        <v>236</v>
      </c>
      <c r="C173" s="4"/>
      <c r="D173" s="16"/>
      <c r="E173" s="24">
        <v>12343</v>
      </c>
      <c r="F173" s="13">
        <f t="shared" si="2"/>
        <v>36843.000000000116</v>
      </c>
    </row>
    <row r="174" spans="1:6" ht="15" customHeight="1" x14ac:dyDescent="0.25">
      <c r="A174" s="8">
        <v>46126</v>
      </c>
      <c r="B174" s="7" t="s">
        <v>237</v>
      </c>
      <c r="C174" s="6"/>
      <c r="D174" s="15"/>
      <c r="E174" s="26">
        <v>110336</v>
      </c>
      <c r="F174" s="13">
        <f t="shared" si="2"/>
        <v>147179.00000000012</v>
      </c>
    </row>
    <row r="175" spans="1:6" ht="15" customHeight="1" x14ac:dyDescent="0.25">
      <c r="A175" s="9">
        <v>46126</v>
      </c>
      <c r="B175" s="5" t="s">
        <v>238</v>
      </c>
      <c r="C175" s="4"/>
      <c r="D175" s="16"/>
      <c r="E175" s="24">
        <v>227801</v>
      </c>
      <c r="F175" s="13">
        <f t="shared" si="2"/>
        <v>374980.00000000012</v>
      </c>
    </row>
    <row r="176" spans="1:6" ht="15" customHeight="1" x14ac:dyDescent="0.25">
      <c r="A176" s="8">
        <v>46126</v>
      </c>
      <c r="B176" s="7" t="s">
        <v>239</v>
      </c>
      <c r="C176" s="6"/>
      <c r="D176" s="15"/>
      <c r="E176" s="26">
        <v>79141.649999999994</v>
      </c>
      <c r="F176" s="13">
        <f t="shared" si="2"/>
        <v>454121.65000000014</v>
      </c>
    </row>
    <row r="177" spans="1:6" ht="15" customHeight="1" x14ac:dyDescent="0.25">
      <c r="A177" s="9">
        <v>46126</v>
      </c>
      <c r="B177" s="5" t="s">
        <v>240</v>
      </c>
      <c r="C177" s="4"/>
      <c r="D177" s="16"/>
      <c r="E177" s="24">
        <v>17500</v>
      </c>
      <c r="F177" s="13">
        <f t="shared" si="2"/>
        <v>471621.65000000014</v>
      </c>
    </row>
    <row r="178" spans="1:6" ht="15" customHeight="1" x14ac:dyDescent="0.25">
      <c r="A178" s="8">
        <v>46126</v>
      </c>
      <c r="B178" s="7" t="s">
        <v>241</v>
      </c>
      <c r="C178" s="6"/>
      <c r="D178" s="22">
        <v>421121.65</v>
      </c>
      <c r="E178" s="15"/>
      <c r="F178" s="13">
        <f t="shared" si="2"/>
        <v>50500.000000000116</v>
      </c>
    </row>
    <row r="179" spans="1:6" ht="15" customHeight="1" x14ac:dyDescent="0.25">
      <c r="A179" s="9">
        <v>46126</v>
      </c>
      <c r="B179" s="5" t="s">
        <v>242</v>
      </c>
      <c r="C179" s="4"/>
      <c r="D179" s="20">
        <v>1950</v>
      </c>
      <c r="E179" s="16"/>
      <c r="F179" s="13">
        <f t="shared" si="2"/>
        <v>48550.000000000116</v>
      </c>
    </row>
    <row r="180" spans="1:6" ht="15" customHeight="1" x14ac:dyDescent="0.25">
      <c r="A180" s="8">
        <v>46126</v>
      </c>
      <c r="B180" s="7" t="s">
        <v>243</v>
      </c>
      <c r="C180" s="6"/>
      <c r="D180" s="15"/>
      <c r="E180" s="26">
        <v>181645</v>
      </c>
      <c r="F180" s="13">
        <f t="shared" si="2"/>
        <v>230195.00000000012</v>
      </c>
    </row>
    <row r="181" spans="1:6" ht="15" customHeight="1" x14ac:dyDescent="0.25">
      <c r="A181" s="9">
        <v>46126</v>
      </c>
      <c r="B181" s="5" t="s">
        <v>244</v>
      </c>
      <c r="C181" s="4"/>
      <c r="D181" s="16"/>
      <c r="E181" s="24">
        <v>3660</v>
      </c>
      <c r="F181" s="13">
        <f t="shared" si="2"/>
        <v>233855.00000000012</v>
      </c>
    </row>
    <row r="182" spans="1:6" ht="15" customHeight="1" x14ac:dyDescent="0.25">
      <c r="A182" s="8">
        <v>46126</v>
      </c>
      <c r="B182" s="7" t="s">
        <v>245</v>
      </c>
      <c r="C182" s="6"/>
      <c r="D182" s="15"/>
      <c r="E182" s="26">
        <v>8470</v>
      </c>
      <c r="F182" s="13">
        <f t="shared" si="2"/>
        <v>242325.00000000012</v>
      </c>
    </row>
    <row r="183" spans="1:6" ht="15" customHeight="1" x14ac:dyDescent="0.25">
      <c r="A183" s="9">
        <v>46126</v>
      </c>
      <c r="B183" s="5" t="s">
        <v>246</v>
      </c>
      <c r="C183" s="4"/>
      <c r="D183" s="20">
        <v>240000</v>
      </c>
      <c r="E183" s="16"/>
      <c r="F183" s="13">
        <f t="shared" si="2"/>
        <v>2325.0000000001164</v>
      </c>
    </row>
    <row r="184" spans="1:6" ht="15" customHeight="1" x14ac:dyDescent="0.25">
      <c r="A184" s="8">
        <v>46127</v>
      </c>
      <c r="B184" s="7" t="s">
        <v>247</v>
      </c>
      <c r="C184" s="6"/>
      <c r="D184" s="15"/>
      <c r="E184" s="26">
        <v>289276.57</v>
      </c>
      <c r="F184" s="13">
        <f t="shared" si="2"/>
        <v>291601.57000000012</v>
      </c>
    </row>
    <row r="185" spans="1:6" ht="15" customHeight="1" x14ac:dyDescent="0.25">
      <c r="A185" s="9">
        <v>46127</v>
      </c>
      <c r="B185" s="5" t="s">
        <v>248</v>
      </c>
      <c r="C185" s="4"/>
      <c r="D185" s="16"/>
      <c r="E185" s="24">
        <v>106410</v>
      </c>
      <c r="F185" s="13">
        <f t="shared" si="2"/>
        <v>398011.57000000012</v>
      </c>
    </row>
    <row r="186" spans="1:6" ht="15" customHeight="1" x14ac:dyDescent="0.25">
      <c r="A186" s="8">
        <v>46127</v>
      </c>
      <c r="B186" s="7" t="s">
        <v>249</v>
      </c>
      <c r="C186" s="6"/>
      <c r="D186" s="15"/>
      <c r="E186" s="26">
        <v>13630</v>
      </c>
      <c r="F186" s="13">
        <f t="shared" si="2"/>
        <v>411641.57000000012</v>
      </c>
    </row>
    <row r="187" spans="1:6" ht="15" customHeight="1" x14ac:dyDescent="0.25">
      <c r="A187" s="9">
        <v>46127</v>
      </c>
      <c r="B187" s="5" t="s">
        <v>250</v>
      </c>
      <c r="C187" s="4"/>
      <c r="D187" s="20">
        <v>401141.57</v>
      </c>
      <c r="E187" s="16"/>
      <c r="F187" s="13">
        <f t="shared" si="2"/>
        <v>10500.000000000116</v>
      </c>
    </row>
    <row r="188" spans="1:6" ht="15" customHeight="1" x14ac:dyDescent="0.25">
      <c r="A188" s="8">
        <v>46127</v>
      </c>
      <c r="B188" s="7" t="s">
        <v>251</v>
      </c>
      <c r="C188" s="6"/>
      <c r="D188" s="15"/>
      <c r="E188" s="26">
        <v>56935</v>
      </c>
      <c r="F188" s="13">
        <f t="shared" si="2"/>
        <v>67435.000000000116</v>
      </c>
    </row>
    <row r="189" spans="1:6" ht="15" customHeight="1" x14ac:dyDescent="0.25">
      <c r="A189" s="9">
        <v>46127</v>
      </c>
      <c r="B189" s="5" t="s">
        <v>252</v>
      </c>
      <c r="C189" s="4"/>
      <c r="D189" s="16"/>
      <c r="E189" s="24">
        <v>18357.8</v>
      </c>
      <c r="F189" s="13">
        <f t="shared" si="2"/>
        <v>85792.800000000119</v>
      </c>
    </row>
    <row r="190" spans="1:6" ht="15" customHeight="1" x14ac:dyDescent="0.25">
      <c r="A190" s="8">
        <v>46127</v>
      </c>
      <c r="B190" s="7" t="s">
        <v>253</v>
      </c>
      <c r="C190" s="6"/>
      <c r="D190" s="15"/>
      <c r="E190" s="26">
        <v>28088</v>
      </c>
      <c r="F190" s="13">
        <f t="shared" si="2"/>
        <v>113880.80000000012</v>
      </c>
    </row>
    <row r="191" spans="1:6" ht="15" customHeight="1" x14ac:dyDescent="0.25">
      <c r="A191" s="9">
        <v>46127</v>
      </c>
      <c r="B191" s="5" t="s">
        <v>254</v>
      </c>
      <c r="C191" s="4"/>
      <c r="D191" s="16"/>
      <c r="E191" s="24">
        <v>9044</v>
      </c>
      <c r="F191" s="13">
        <f t="shared" si="2"/>
        <v>122924.80000000012</v>
      </c>
    </row>
    <row r="192" spans="1:6" ht="15" customHeight="1" x14ac:dyDescent="0.25">
      <c r="A192" s="8">
        <v>46127</v>
      </c>
      <c r="B192" s="7" t="s">
        <v>255</v>
      </c>
      <c r="C192" s="6"/>
      <c r="D192" s="15"/>
      <c r="E192" s="26">
        <v>5000</v>
      </c>
      <c r="F192" s="13">
        <f t="shared" si="2"/>
        <v>127924.80000000012</v>
      </c>
    </row>
    <row r="193" spans="1:6" ht="15" customHeight="1" x14ac:dyDescent="0.25">
      <c r="A193" s="9">
        <v>46127</v>
      </c>
      <c r="B193" s="5" t="s">
        <v>256</v>
      </c>
      <c r="C193" s="4"/>
      <c r="D193" s="20">
        <v>125424</v>
      </c>
      <c r="E193" s="16"/>
      <c r="F193" s="13">
        <f t="shared" si="2"/>
        <v>2500.8000000001193</v>
      </c>
    </row>
    <row r="194" spans="1:6" ht="15" customHeight="1" x14ac:dyDescent="0.25">
      <c r="A194" s="8">
        <v>46127</v>
      </c>
      <c r="B194" s="7" t="s">
        <v>257</v>
      </c>
      <c r="C194" s="6"/>
      <c r="D194" s="15"/>
      <c r="E194" s="26">
        <v>10119</v>
      </c>
      <c r="F194" s="13">
        <f t="shared" si="2"/>
        <v>12619.800000000119</v>
      </c>
    </row>
    <row r="195" spans="1:6" ht="15" customHeight="1" x14ac:dyDescent="0.25">
      <c r="A195" s="9">
        <v>46127</v>
      </c>
      <c r="B195" s="5" t="s">
        <v>258</v>
      </c>
      <c r="C195" s="4" t="s">
        <v>259</v>
      </c>
      <c r="D195" s="20">
        <v>0</v>
      </c>
      <c r="E195" s="20">
        <v>3617</v>
      </c>
      <c r="F195" s="13">
        <f t="shared" si="2"/>
        <v>16236.800000000119</v>
      </c>
    </row>
    <row r="196" spans="1:6" ht="15" customHeight="1" x14ac:dyDescent="0.25">
      <c r="A196" s="8">
        <v>46127</v>
      </c>
      <c r="B196" s="7" t="s">
        <v>260</v>
      </c>
      <c r="C196" s="6"/>
      <c r="D196" s="22">
        <v>13736</v>
      </c>
      <c r="E196" s="15"/>
      <c r="F196" s="13">
        <f t="shared" ref="F196:F259" si="3">+F195-D196+E196</f>
        <v>2500.8000000001193</v>
      </c>
    </row>
    <row r="197" spans="1:6" ht="15" customHeight="1" x14ac:dyDescent="0.25">
      <c r="A197" s="9">
        <v>46127</v>
      </c>
      <c r="B197" s="5" t="s">
        <v>261</v>
      </c>
      <c r="C197" s="4"/>
      <c r="D197" s="16"/>
      <c r="E197" s="24">
        <v>28766</v>
      </c>
      <c r="F197" s="13">
        <f t="shared" si="3"/>
        <v>31266.800000000119</v>
      </c>
    </row>
    <row r="198" spans="1:6" ht="15" customHeight="1" x14ac:dyDescent="0.25">
      <c r="A198" s="8">
        <v>46127</v>
      </c>
      <c r="B198" s="7" t="s">
        <v>262</v>
      </c>
      <c r="C198" s="6"/>
      <c r="D198" s="15"/>
      <c r="E198" s="26">
        <v>25486</v>
      </c>
      <c r="F198" s="13">
        <f t="shared" si="3"/>
        <v>56752.800000000119</v>
      </c>
    </row>
    <row r="199" spans="1:6" ht="15" customHeight="1" x14ac:dyDescent="0.25">
      <c r="A199" s="9">
        <v>46127</v>
      </c>
      <c r="B199" s="5" t="s">
        <v>263</v>
      </c>
      <c r="C199" s="4"/>
      <c r="D199" s="20">
        <v>54252.800000000003</v>
      </c>
      <c r="E199" s="16"/>
      <c r="F199" s="13">
        <f t="shared" si="3"/>
        <v>2500.0000000001164</v>
      </c>
    </row>
    <row r="200" spans="1:6" ht="15" customHeight="1" x14ac:dyDescent="0.25">
      <c r="A200" s="8">
        <v>46127</v>
      </c>
      <c r="B200" s="7" t="s">
        <v>264</v>
      </c>
      <c r="C200" s="6"/>
      <c r="D200" s="15"/>
      <c r="E200" s="26">
        <v>44496</v>
      </c>
      <c r="F200" s="13">
        <f t="shared" si="3"/>
        <v>46996.000000000116</v>
      </c>
    </row>
    <row r="201" spans="1:6" ht="15" customHeight="1" x14ac:dyDescent="0.25">
      <c r="A201" s="9">
        <v>46127</v>
      </c>
      <c r="B201" s="5" t="s">
        <v>265</v>
      </c>
      <c r="C201" s="4"/>
      <c r="D201" s="20">
        <v>44496</v>
      </c>
      <c r="E201" s="16"/>
      <c r="F201" s="13">
        <f t="shared" si="3"/>
        <v>2500.0000000001164</v>
      </c>
    </row>
    <row r="202" spans="1:6" ht="15" customHeight="1" x14ac:dyDescent="0.25">
      <c r="A202" s="8">
        <v>46128</v>
      </c>
      <c r="B202" s="7" t="s">
        <v>266</v>
      </c>
      <c r="C202" s="6"/>
      <c r="D202" s="15"/>
      <c r="E202" s="26">
        <v>239756</v>
      </c>
      <c r="F202" s="13">
        <f t="shared" si="3"/>
        <v>242256.00000000012</v>
      </c>
    </row>
    <row r="203" spans="1:6" ht="15" customHeight="1" x14ac:dyDescent="0.25">
      <c r="A203" s="9">
        <v>46128</v>
      </c>
      <c r="B203" s="5" t="s">
        <v>267</v>
      </c>
      <c r="C203" s="4"/>
      <c r="D203" s="16"/>
      <c r="E203" s="24">
        <v>74560.78</v>
      </c>
      <c r="F203" s="13">
        <f t="shared" si="3"/>
        <v>316816.78000000014</v>
      </c>
    </row>
    <row r="204" spans="1:6" ht="15" customHeight="1" x14ac:dyDescent="0.25">
      <c r="A204" s="8">
        <v>46128</v>
      </c>
      <c r="B204" s="7" t="s">
        <v>268</v>
      </c>
      <c r="C204" s="6"/>
      <c r="D204" s="15"/>
      <c r="E204" s="26">
        <v>1700</v>
      </c>
      <c r="F204" s="13">
        <f t="shared" si="3"/>
        <v>318516.78000000014</v>
      </c>
    </row>
    <row r="205" spans="1:6" ht="15" customHeight="1" x14ac:dyDescent="0.25">
      <c r="A205" s="9">
        <v>46128</v>
      </c>
      <c r="B205" s="5" t="s">
        <v>269</v>
      </c>
      <c r="C205" s="4"/>
      <c r="D205" s="16"/>
      <c r="E205" s="24">
        <v>250421</v>
      </c>
      <c r="F205" s="13">
        <f t="shared" si="3"/>
        <v>568937.78000000014</v>
      </c>
    </row>
    <row r="206" spans="1:6" ht="15" customHeight="1" x14ac:dyDescent="0.25">
      <c r="A206" s="8">
        <v>46128</v>
      </c>
      <c r="B206" s="7" t="s">
        <v>270</v>
      </c>
      <c r="C206" s="6"/>
      <c r="D206" s="15"/>
      <c r="E206" s="26">
        <v>66021</v>
      </c>
      <c r="F206" s="13">
        <f t="shared" si="3"/>
        <v>634958.78000000014</v>
      </c>
    </row>
    <row r="207" spans="1:6" ht="15" customHeight="1" x14ac:dyDescent="0.25">
      <c r="A207" s="9">
        <v>46128</v>
      </c>
      <c r="B207" s="5" t="s">
        <v>271</v>
      </c>
      <c r="C207" s="4"/>
      <c r="D207" s="16"/>
      <c r="E207" s="24">
        <v>200000</v>
      </c>
      <c r="F207" s="13">
        <f t="shared" si="3"/>
        <v>834958.78000000014</v>
      </c>
    </row>
    <row r="208" spans="1:6" ht="15" customHeight="1" x14ac:dyDescent="0.25">
      <c r="A208" s="8">
        <v>46128</v>
      </c>
      <c r="B208" s="7" t="s">
        <v>272</v>
      </c>
      <c r="C208" s="6"/>
      <c r="D208" s="15"/>
      <c r="E208" s="26">
        <v>2407</v>
      </c>
      <c r="F208" s="13">
        <f t="shared" si="3"/>
        <v>837365.78000000014</v>
      </c>
    </row>
    <row r="209" spans="1:6" ht="15" customHeight="1" x14ac:dyDescent="0.25">
      <c r="A209" s="9">
        <v>46128</v>
      </c>
      <c r="B209" s="5" t="s">
        <v>273</v>
      </c>
      <c r="C209" s="4"/>
      <c r="D209" s="16"/>
      <c r="E209" s="24">
        <v>63308</v>
      </c>
      <c r="F209" s="13">
        <f t="shared" si="3"/>
        <v>900673.78000000014</v>
      </c>
    </row>
    <row r="210" spans="1:6" ht="15" customHeight="1" x14ac:dyDescent="0.25">
      <c r="A210" s="8">
        <v>46128</v>
      </c>
      <c r="B210" s="7" t="s">
        <v>274</v>
      </c>
      <c r="C210" s="6"/>
      <c r="D210" s="22">
        <v>898173.78</v>
      </c>
      <c r="E210" s="15"/>
      <c r="F210" s="13">
        <f t="shared" si="3"/>
        <v>2500.0000000001164</v>
      </c>
    </row>
    <row r="211" spans="1:6" ht="15" customHeight="1" x14ac:dyDescent="0.25">
      <c r="A211" s="9">
        <v>46128</v>
      </c>
      <c r="B211" s="5" t="s">
        <v>275</v>
      </c>
      <c r="C211" s="4"/>
      <c r="D211" s="16"/>
      <c r="E211" s="24">
        <v>6250</v>
      </c>
      <c r="F211" s="13">
        <f t="shared" si="3"/>
        <v>8750.0000000001164</v>
      </c>
    </row>
    <row r="212" spans="1:6" ht="15" customHeight="1" x14ac:dyDescent="0.25">
      <c r="A212" s="8">
        <v>46129</v>
      </c>
      <c r="B212" s="7" t="s">
        <v>276</v>
      </c>
      <c r="C212" s="6"/>
      <c r="D212" s="15"/>
      <c r="E212" s="26">
        <v>249326.76</v>
      </c>
      <c r="F212" s="13">
        <f t="shared" si="3"/>
        <v>258076.76000000013</v>
      </c>
    </row>
    <row r="213" spans="1:6" ht="15" customHeight="1" x14ac:dyDescent="0.25">
      <c r="A213" s="9">
        <v>46129</v>
      </c>
      <c r="B213" s="5" t="s">
        <v>277</v>
      </c>
      <c r="C213" s="4"/>
      <c r="D213" s="16"/>
      <c r="E213" s="24">
        <v>72938</v>
      </c>
      <c r="F213" s="13">
        <f t="shared" si="3"/>
        <v>331014.76000000013</v>
      </c>
    </row>
    <row r="214" spans="1:6" ht="15" customHeight="1" x14ac:dyDescent="0.25">
      <c r="A214" s="8">
        <v>46129</v>
      </c>
      <c r="B214" s="7" t="s">
        <v>278</v>
      </c>
      <c r="C214" s="6"/>
      <c r="D214" s="22">
        <v>328514.76</v>
      </c>
      <c r="E214" s="15"/>
      <c r="F214" s="13">
        <f t="shared" si="3"/>
        <v>2500.0000000001164</v>
      </c>
    </row>
    <row r="215" spans="1:6" ht="15" customHeight="1" x14ac:dyDescent="0.25">
      <c r="A215" s="9">
        <v>46129</v>
      </c>
      <c r="B215" s="5" t="s">
        <v>279</v>
      </c>
      <c r="C215" s="4"/>
      <c r="D215" s="16"/>
      <c r="E215" s="24">
        <v>25410</v>
      </c>
      <c r="F215" s="13">
        <f t="shared" si="3"/>
        <v>27910.000000000116</v>
      </c>
    </row>
    <row r="216" spans="1:6" ht="15" customHeight="1" x14ac:dyDescent="0.25">
      <c r="A216" s="8">
        <v>46129</v>
      </c>
      <c r="B216" s="7" t="s">
        <v>280</v>
      </c>
      <c r="C216" s="6"/>
      <c r="D216" s="15"/>
      <c r="E216" s="26">
        <v>33352</v>
      </c>
      <c r="F216" s="13">
        <f t="shared" si="3"/>
        <v>61262.000000000116</v>
      </c>
    </row>
    <row r="217" spans="1:6" ht="15" customHeight="1" x14ac:dyDescent="0.25">
      <c r="A217" s="9">
        <v>46129</v>
      </c>
      <c r="B217" s="5" t="s">
        <v>281</v>
      </c>
      <c r="C217" s="4"/>
      <c r="D217" s="16"/>
      <c r="E217" s="24">
        <v>45220</v>
      </c>
      <c r="F217" s="13">
        <f t="shared" si="3"/>
        <v>106482.00000000012</v>
      </c>
    </row>
    <row r="218" spans="1:6" ht="15" customHeight="1" x14ac:dyDescent="0.25">
      <c r="A218" s="8">
        <v>46129</v>
      </c>
      <c r="B218" s="7" t="s">
        <v>282</v>
      </c>
      <c r="C218" s="6"/>
      <c r="D218" s="15"/>
      <c r="E218" s="26">
        <v>48786</v>
      </c>
      <c r="F218" s="13">
        <f t="shared" si="3"/>
        <v>155268.00000000012</v>
      </c>
    </row>
    <row r="219" spans="1:6" ht="15" customHeight="1" x14ac:dyDescent="0.25">
      <c r="A219" s="9">
        <v>46129</v>
      </c>
      <c r="B219" s="5" t="s">
        <v>283</v>
      </c>
      <c r="C219" s="4"/>
      <c r="D219" s="20">
        <v>150000</v>
      </c>
      <c r="E219" s="16"/>
      <c r="F219" s="13">
        <f t="shared" si="3"/>
        <v>5268.0000000001164</v>
      </c>
    </row>
    <row r="220" spans="1:6" ht="15" customHeight="1" x14ac:dyDescent="0.25">
      <c r="A220" s="8">
        <v>46129</v>
      </c>
      <c r="B220" s="7" t="s">
        <v>284</v>
      </c>
      <c r="C220" s="6"/>
      <c r="D220" s="22">
        <v>0</v>
      </c>
      <c r="E220" s="22">
        <v>1000</v>
      </c>
      <c r="F220" s="13">
        <f t="shared" si="3"/>
        <v>6268.0000000001164</v>
      </c>
    </row>
    <row r="221" spans="1:6" ht="15" customHeight="1" x14ac:dyDescent="0.25">
      <c r="A221" s="9">
        <v>46129</v>
      </c>
      <c r="B221" s="5" t="s">
        <v>285</v>
      </c>
      <c r="C221" s="4"/>
      <c r="D221" s="16"/>
      <c r="E221" s="24">
        <v>58304</v>
      </c>
      <c r="F221" s="13">
        <f t="shared" si="3"/>
        <v>64572.000000000116</v>
      </c>
    </row>
    <row r="222" spans="1:6" ht="15" customHeight="1" x14ac:dyDescent="0.25">
      <c r="A222" s="8">
        <v>46130</v>
      </c>
      <c r="B222" s="7" t="s">
        <v>286</v>
      </c>
      <c r="C222" s="6"/>
      <c r="D222" s="15"/>
      <c r="E222" s="26">
        <v>219193</v>
      </c>
      <c r="F222" s="13">
        <f t="shared" si="3"/>
        <v>283765.00000000012</v>
      </c>
    </row>
    <row r="223" spans="1:6" ht="15" customHeight="1" x14ac:dyDescent="0.25">
      <c r="A223" s="9">
        <v>46130</v>
      </c>
      <c r="B223" s="5" t="s">
        <v>287</v>
      </c>
      <c r="C223" s="4"/>
      <c r="D223" s="16"/>
      <c r="E223" s="24">
        <v>61076.28</v>
      </c>
      <c r="F223" s="13">
        <f t="shared" si="3"/>
        <v>344841.28000000014</v>
      </c>
    </row>
    <row r="224" spans="1:6" ht="15" customHeight="1" x14ac:dyDescent="0.25">
      <c r="A224" s="8">
        <v>46130</v>
      </c>
      <c r="B224" s="7" t="s">
        <v>288</v>
      </c>
      <c r="C224" s="6"/>
      <c r="D224" s="15"/>
      <c r="E224" s="26">
        <v>15702</v>
      </c>
      <c r="F224" s="13">
        <f t="shared" si="3"/>
        <v>360543.28000000014</v>
      </c>
    </row>
    <row r="225" spans="1:6" ht="15" customHeight="1" x14ac:dyDescent="0.25">
      <c r="A225" s="9">
        <v>46130</v>
      </c>
      <c r="B225" s="5" t="s">
        <v>289</v>
      </c>
      <c r="C225" s="4"/>
      <c r="D225" s="16"/>
      <c r="E225" s="24">
        <v>52492</v>
      </c>
      <c r="F225" s="13">
        <f t="shared" si="3"/>
        <v>413035.28000000014</v>
      </c>
    </row>
    <row r="226" spans="1:6" ht="15" customHeight="1" x14ac:dyDescent="0.25">
      <c r="A226" s="8">
        <v>46130</v>
      </c>
      <c r="B226" s="7" t="s">
        <v>290</v>
      </c>
      <c r="C226" s="6" t="s">
        <v>291</v>
      </c>
      <c r="D226" s="15"/>
      <c r="E226" s="26">
        <v>15000</v>
      </c>
      <c r="F226" s="13">
        <f t="shared" si="3"/>
        <v>428035.28000000014</v>
      </c>
    </row>
    <row r="227" spans="1:6" ht="15" customHeight="1" x14ac:dyDescent="0.25">
      <c r="A227" s="9">
        <v>46130</v>
      </c>
      <c r="B227" s="5" t="s">
        <v>292</v>
      </c>
      <c r="C227" s="4"/>
      <c r="D227" s="16"/>
      <c r="E227" s="24">
        <v>18000</v>
      </c>
      <c r="F227" s="13">
        <f t="shared" si="3"/>
        <v>446035.28000000014</v>
      </c>
    </row>
    <row r="228" spans="1:6" ht="15" customHeight="1" x14ac:dyDescent="0.25">
      <c r="A228" s="8">
        <v>46130</v>
      </c>
      <c r="B228" s="7" t="s">
        <v>293</v>
      </c>
      <c r="C228" s="6"/>
      <c r="D228" s="15"/>
      <c r="E228" s="26">
        <v>37132</v>
      </c>
      <c r="F228" s="13">
        <f t="shared" si="3"/>
        <v>483167.28000000014</v>
      </c>
    </row>
    <row r="229" spans="1:6" ht="15" customHeight="1" x14ac:dyDescent="0.25">
      <c r="A229" s="9">
        <v>46130</v>
      </c>
      <c r="B229" s="5" t="s">
        <v>294</v>
      </c>
      <c r="C229" s="4"/>
      <c r="D229" s="20">
        <v>480667.28</v>
      </c>
      <c r="E229" s="16"/>
      <c r="F229" s="13">
        <f t="shared" si="3"/>
        <v>2500.0000000001164</v>
      </c>
    </row>
    <row r="230" spans="1:6" ht="15" customHeight="1" x14ac:dyDescent="0.25">
      <c r="A230" s="8">
        <v>46131</v>
      </c>
      <c r="B230" s="7" t="s">
        <v>295</v>
      </c>
      <c r="C230" s="6"/>
      <c r="D230" s="15"/>
      <c r="E230" s="26">
        <v>66511</v>
      </c>
      <c r="F230" s="13">
        <f t="shared" si="3"/>
        <v>69011.000000000116</v>
      </c>
    </row>
    <row r="231" spans="1:6" ht="15" customHeight="1" x14ac:dyDescent="0.25">
      <c r="A231" s="9">
        <v>46131</v>
      </c>
      <c r="B231" s="5" t="s">
        <v>296</v>
      </c>
      <c r="C231" s="4"/>
      <c r="D231" s="16"/>
      <c r="E231" s="24">
        <v>218422</v>
      </c>
      <c r="F231" s="13">
        <f t="shared" si="3"/>
        <v>287433.00000000012</v>
      </c>
    </row>
    <row r="232" spans="1:6" ht="15" customHeight="1" x14ac:dyDescent="0.25">
      <c r="A232" s="8">
        <v>46131</v>
      </c>
      <c r="B232" s="7" t="s">
        <v>297</v>
      </c>
      <c r="C232" s="6"/>
      <c r="D232" s="15"/>
      <c r="E232" s="26">
        <v>2500</v>
      </c>
      <c r="F232" s="13">
        <f t="shared" si="3"/>
        <v>289933.00000000012</v>
      </c>
    </row>
    <row r="233" spans="1:6" ht="15" customHeight="1" x14ac:dyDescent="0.25">
      <c r="A233" s="9">
        <v>46131</v>
      </c>
      <c r="B233" s="5" t="s">
        <v>298</v>
      </c>
      <c r="C233" s="4"/>
      <c r="D233" s="20">
        <v>259433</v>
      </c>
      <c r="E233" s="16"/>
      <c r="F233" s="13">
        <f t="shared" si="3"/>
        <v>30500.000000000116</v>
      </c>
    </row>
    <row r="234" spans="1:6" ht="15" customHeight="1" x14ac:dyDescent="0.25">
      <c r="A234" s="8">
        <v>46131</v>
      </c>
      <c r="B234" s="7" t="s">
        <v>299</v>
      </c>
      <c r="C234" s="6"/>
      <c r="D234" s="15"/>
      <c r="E234" s="26">
        <v>40698</v>
      </c>
      <c r="F234" s="13">
        <f t="shared" si="3"/>
        <v>71198.000000000116</v>
      </c>
    </row>
    <row r="235" spans="1:6" ht="15" customHeight="1" x14ac:dyDescent="0.25">
      <c r="A235" s="9">
        <v>46131</v>
      </c>
      <c r="B235" s="5" t="s">
        <v>300</v>
      </c>
      <c r="C235" s="4"/>
      <c r="D235" s="19">
        <v>0.47</v>
      </c>
      <c r="E235" s="16"/>
      <c r="F235" s="13">
        <f t="shared" si="3"/>
        <v>71197.530000000115</v>
      </c>
    </row>
    <row r="236" spans="1:6" ht="15" customHeight="1" x14ac:dyDescent="0.25">
      <c r="A236" s="8">
        <v>46131</v>
      </c>
      <c r="B236" s="7" t="s">
        <v>301</v>
      </c>
      <c r="C236" s="6"/>
      <c r="D236" s="15"/>
      <c r="E236" s="26">
        <v>63308</v>
      </c>
      <c r="F236" s="13">
        <f t="shared" si="3"/>
        <v>134505.53000000012</v>
      </c>
    </row>
    <row r="237" spans="1:6" ht="15" customHeight="1" x14ac:dyDescent="0.25">
      <c r="A237" s="9">
        <v>46131</v>
      </c>
      <c r="B237" s="5" t="s">
        <v>302</v>
      </c>
      <c r="C237" s="4" t="s">
        <v>303</v>
      </c>
      <c r="D237" s="20">
        <v>0</v>
      </c>
      <c r="E237" s="20">
        <v>11305</v>
      </c>
      <c r="F237" s="13">
        <f t="shared" si="3"/>
        <v>145810.53000000012</v>
      </c>
    </row>
    <row r="238" spans="1:6" ht="15" customHeight="1" x14ac:dyDescent="0.25">
      <c r="A238" s="8">
        <v>46131</v>
      </c>
      <c r="B238" s="7" t="s">
        <v>304</v>
      </c>
      <c r="C238" s="6" t="s">
        <v>305</v>
      </c>
      <c r="D238" s="15"/>
      <c r="E238" s="26">
        <v>58000</v>
      </c>
      <c r="F238" s="13">
        <f t="shared" si="3"/>
        <v>203810.53000000012</v>
      </c>
    </row>
    <row r="239" spans="1:6" ht="15" customHeight="1" x14ac:dyDescent="0.25">
      <c r="A239" s="9">
        <v>46131</v>
      </c>
      <c r="B239" s="5" t="s">
        <v>306</v>
      </c>
      <c r="C239" s="4" t="s">
        <v>307</v>
      </c>
      <c r="D239" s="16"/>
      <c r="E239" s="24">
        <v>10000</v>
      </c>
      <c r="F239" s="13">
        <f t="shared" si="3"/>
        <v>213810.53000000012</v>
      </c>
    </row>
    <row r="240" spans="1:6" ht="15" customHeight="1" x14ac:dyDescent="0.25">
      <c r="A240" s="8">
        <v>46131</v>
      </c>
      <c r="B240" s="7" t="s">
        <v>308</v>
      </c>
      <c r="C240" s="6"/>
      <c r="D240" s="22">
        <v>211310.53</v>
      </c>
      <c r="E240" s="15"/>
      <c r="F240" s="13">
        <f t="shared" si="3"/>
        <v>2500.0000000001164</v>
      </c>
    </row>
    <row r="241" spans="1:6" ht="15" customHeight="1" x14ac:dyDescent="0.25">
      <c r="A241" s="9">
        <v>46132</v>
      </c>
      <c r="B241" s="5" t="s">
        <v>309</v>
      </c>
      <c r="C241" s="4"/>
      <c r="D241" s="16"/>
      <c r="E241" s="24">
        <v>174695.6</v>
      </c>
      <c r="F241" s="13">
        <f t="shared" si="3"/>
        <v>177195.60000000012</v>
      </c>
    </row>
    <row r="242" spans="1:6" ht="15" customHeight="1" x14ac:dyDescent="0.25">
      <c r="A242" s="8">
        <v>46132</v>
      </c>
      <c r="B242" s="7" t="s">
        <v>310</v>
      </c>
      <c r="C242" s="6"/>
      <c r="D242" s="15"/>
      <c r="E242" s="26">
        <v>86876.92</v>
      </c>
      <c r="F242" s="13">
        <f t="shared" si="3"/>
        <v>264072.52000000014</v>
      </c>
    </row>
    <row r="243" spans="1:6" ht="15" customHeight="1" x14ac:dyDescent="0.25">
      <c r="A243" s="9">
        <v>46132</v>
      </c>
      <c r="B243" s="5" t="s">
        <v>311</v>
      </c>
      <c r="C243" s="4"/>
      <c r="D243" s="20">
        <v>260572.52</v>
      </c>
      <c r="E243" s="16"/>
      <c r="F243" s="13">
        <f t="shared" si="3"/>
        <v>3500.0000000001455</v>
      </c>
    </row>
    <row r="244" spans="1:6" ht="15" customHeight="1" x14ac:dyDescent="0.25">
      <c r="A244" s="8">
        <v>46132</v>
      </c>
      <c r="B244" s="7" t="s">
        <v>312</v>
      </c>
      <c r="C244" s="6"/>
      <c r="D244" s="15"/>
      <c r="E244" s="26">
        <v>16000</v>
      </c>
      <c r="F244" s="13">
        <f t="shared" si="3"/>
        <v>19500.000000000146</v>
      </c>
    </row>
    <row r="245" spans="1:6" ht="15" customHeight="1" x14ac:dyDescent="0.25">
      <c r="A245" s="9">
        <v>46132</v>
      </c>
      <c r="B245" s="5" t="s">
        <v>313</v>
      </c>
      <c r="C245" s="4"/>
      <c r="D245" s="16"/>
      <c r="E245" s="24">
        <v>17950</v>
      </c>
      <c r="F245" s="13">
        <f t="shared" si="3"/>
        <v>37450.000000000146</v>
      </c>
    </row>
    <row r="246" spans="1:6" ht="15" customHeight="1" x14ac:dyDescent="0.25">
      <c r="A246" s="8">
        <v>46132</v>
      </c>
      <c r="B246" s="7" t="s">
        <v>314</v>
      </c>
      <c r="C246" s="6"/>
      <c r="D246" s="15"/>
      <c r="E246" s="26">
        <v>56731</v>
      </c>
      <c r="F246" s="13">
        <f t="shared" si="3"/>
        <v>94181.000000000146</v>
      </c>
    </row>
    <row r="247" spans="1:6" ht="15" customHeight="1" x14ac:dyDescent="0.25">
      <c r="A247" s="9">
        <v>46132</v>
      </c>
      <c r="B247" s="5" t="s">
        <v>315</v>
      </c>
      <c r="C247" s="4"/>
      <c r="D247" s="16"/>
      <c r="E247" s="24">
        <v>6226.78</v>
      </c>
      <c r="F247" s="13">
        <f t="shared" si="3"/>
        <v>100407.78000000014</v>
      </c>
    </row>
    <row r="248" spans="1:6" ht="15" customHeight="1" x14ac:dyDescent="0.25">
      <c r="A248" s="8">
        <v>46132</v>
      </c>
      <c r="B248" s="7" t="s">
        <v>316</v>
      </c>
      <c r="C248" s="6" t="s">
        <v>317</v>
      </c>
      <c r="D248" s="15"/>
      <c r="E248" s="25">
        <v>1</v>
      </c>
      <c r="F248" s="13">
        <f t="shared" si="3"/>
        <v>100408.78000000014</v>
      </c>
    </row>
    <row r="249" spans="1:6" ht="15" customHeight="1" x14ac:dyDescent="0.25">
      <c r="A249" s="9">
        <v>46132</v>
      </c>
      <c r="B249" s="5" t="s">
        <v>318</v>
      </c>
      <c r="C249" s="4" t="s">
        <v>319</v>
      </c>
      <c r="D249" s="16"/>
      <c r="E249" s="24">
        <v>14699</v>
      </c>
      <c r="F249" s="13">
        <f t="shared" si="3"/>
        <v>115107.78000000014</v>
      </c>
    </row>
    <row r="250" spans="1:6" ht="15" customHeight="1" x14ac:dyDescent="0.25">
      <c r="A250" s="8">
        <v>46132</v>
      </c>
      <c r="B250" s="7" t="s">
        <v>320</v>
      </c>
      <c r="C250" s="6"/>
      <c r="D250" s="15"/>
      <c r="E250" s="26">
        <v>2930</v>
      </c>
      <c r="F250" s="13">
        <f t="shared" si="3"/>
        <v>118037.78000000014</v>
      </c>
    </row>
    <row r="251" spans="1:6" ht="15" customHeight="1" x14ac:dyDescent="0.25">
      <c r="A251" s="9">
        <v>46132</v>
      </c>
      <c r="B251" s="5" t="s">
        <v>321</v>
      </c>
      <c r="C251" s="4"/>
      <c r="D251" s="16"/>
      <c r="E251" s="24">
        <v>8210</v>
      </c>
      <c r="F251" s="13">
        <f t="shared" si="3"/>
        <v>126247.78000000014</v>
      </c>
    </row>
    <row r="252" spans="1:6" ht="15" customHeight="1" x14ac:dyDescent="0.25">
      <c r="A252" s="8">
        <v>46132</v>
      </c>
      <c r="B252" s="7" t="s">
        <v>322</v>
      </c>
      <c r="C252" s="6"/>
      <c r="D252" s="15"/>
      <c r="E252" s="26">
        <v>163337</v>
      </c>
      <c r="F252" s="13">
        <f t="shared" si="3"/>
        <v>289584.78000000014</v>
      </c>
    </row>
    <row r="253" spans="1:6" ht="15" customHeight="1" x14ac:dyDescent="0.25">
      <c r="A253" s="9">
        <v>46132</v>
      </c>
      <c r="B253" s="5" t="s">
        <v>323</v>
      </c>
      <c r="C253" s="4"/>
      <c r="D253" s="20">
        <v>287084.78000000003</v>
      </c>
      <c r="E253" s="16"/>
      <c r="F253" s="13">
        <f t="shared" si="3"/>
        <v>2500.0000000001164</v>
      </c>
    </row>
    <row r="254" spans="1:6" ht="15" customHeight="1" x14ac:dyDescent="0.25">
      <c r="A254" s="8">
        <v>46132</v>
      </c>
      <c r="B254" s="7" t="s">
        <v>324</v>
      </c>
      <c r="C254" s="6" t="s">
        <v>325</v>
      </c>
      <c r="D254" s="15"/>
      <c r="E254" s="26">
        <v>10000</v>
      </c>
      <c r="F254" s="13">
        <f t="shared" si="3"/>
        <v>12500.000000000116</v>
      </c>
    </row>
    <row r="255" spans="1:6" ht="15" customHeight="1" x14ac:dyDescent="0.25">
      <c r="A255" s="9">
        <v>46133</v>
      </c>
      <c r="B255" s="5" t="s">
        <v>326</v>
      </c>
      <c r="C255" s="4"/>
      <c r="D255" s="16"/>
      <c r="E255" s="24">
        <v>252575.92</v>
      </c>
      <c r="F255" s="13">
        <f t="shared" si="3"/>
        <v>265075.92000000016</v>
      </c>
    </row>
    <row r="256" spans="1:6" ht="15" customHeight="1" x14ac:dyDescent="0.25">
      <c r="A256" s="8">
        <v>46133</v>
      </c>
      <c r="B256" s="7" t="s">
        <v>327</v>
      </c>
      <c r="C256" s="6"/>
      <c r="D256" s="15"/>
      <c r="E256" s="26">
        <v>70870</v>
      </c>
      <c r="F256" s="13">
        <f t="shared" si="3"/>
        <v>335945.92000000016</v>
      </c>
    </row>
    <row r="257" spans="1:6" ht="15" customHeight="1" x14ac:dyDescent="0.25">
      <c r="A257" s="9">
        <v>46133</v>
      </c>
      <c r="B257" s="5" t="s">
        <v>328</v>
      </c>
      <c r="C257" s="4"/>
      <c r="D257" s="20">
        <v>333445.92</v>
      </c>
      <c r="E257" s="16"/>
      <c r="F257" s="13">
        <f t="shared" si="3"/>
        <v>2500.0000000001746</v>
      </c>
    </row>
    <row r="258" spans="1:6" ht="15" customHeight="1" x14ac:dyDescent="0.25">
      <c r="A258" s="8">
        <v>46133</v>
      </c>
      <c r="B258" s="7" t="s">
        <v>329</v>
      </c>
      <c r="C258" s="6"/>
      <c r="D258" s="15"/>
      <c r="E258" s="26">
        <v>4510</v>
      </c>
      <c r="F258" s="13">
        <f t="shared" si="3"/>
        <v>7010.0000000001746</v>
      </c>
    </row>
    <row r="259" spans="1:6" ht="15" customHeight="1" x14ac:dyDescent="0.25">
      <c r="A259" s="9">
        <v>46133</v>
      </c>
      <c r="B259" s="5" t="s">
        <v>330</v>
      </c>
      <c r="C259" s="4"/>
      <c r="D259" s="16"/>
      <c r="E259" s="24">
        <v>9630</v>
      </c>
      <c r="F259" s="13">
        <f t="shared" si="3"/>
        <v>16640.000000000175</v>
      </c>
    </row>
    <row r="260" spans="1:6" ht="15" customHeight="1" x14ac:dyDescent="0.25">
      <c r="A260" s="8">
        <v>46133</v>
      </c>
      <c r="B260" s="7" t="s">
        <v>331</v>
      </c>
      <c r="C260" s="6"/>
      <c r="D260" s="15"/>
      <c r="E260" s="26">
        <v>14200</v>
      </c>
      <c r="F260" s="13">
        <f t="shared" ref="F260:F323" si="4">+F259-D260+E260</f>
        <v>30840.000000000175</v>
      </c>
    </row>
    <row r="261" spans="1:6" ht="15" customHeight="1" x14ac:dyDescent="0.25">
      <c r="A261" s="9">
        <v>46133</v>
      </c>
      <c r="B261" s="5" t="s">
        <v>332</v>
      </c>
      <c r="C261" s="4"/>
      <c r="D261" s="16"/>
      <c r="E261" s="24">
        <v>18088</v>
      </c>
      <c r="F261" s="13">
        <f t="shared" si="4"/>
        <v>48928.000000000175</v>
      </c>
    </row>
    <row r="262" spans="1:6" ht="15" customHeight="1" x14ac:dyDescent="0.25">
      <c r="A262" s="8">
        <v>46133</v>
      </c>
      <c r="B262" s="7" t="s">
        <v>333</v>
      </c>
      <c r="C262" s="6"/>
      <c r="D262" s="15"/>
      <c r="E262" s="26">
        <v>4874.7</v>
      </c>
      <c r="F262" s="13">
        <f t="shared" si="4"/>
        <v>53802.700000000172</v>
      </c>
    </row>
    <row r="263" spans="1:6" ht="15" customHeight="1" x14ac:dyDescent="0.25">
      <c r="A263" s="9">
        <v>46133</v>
      </c>
      <c r="B263" s="5" t="s">
        <v>334</v>
      </c>
      <c r="C263" s="4" t="s">
        <v>335</v>
      </c>
      <c r="D263" s="20">
        <v>1125</v>
      </c>
      <c r="E263" s="16"/>
      <c r="F263" s="13">
        <f t="shared" si="4"/>
        <v>52677.700000000172</v>
      </c>
    </row>
    <row r="264" spans="1:6" ht="15" customHeight="1" x14ac:dyDescent="0.25">
      <c r="A264" s="8">
        <v>46133</v>
      </c>
      <c r="B264" s="7" t="s">
        <v>336</v>
      </c>
      <c r="C264" s="6"/>
      <c r="D264" s="15"/>
      <c r="E264" s="26">
        <v>58786</v>
      </c>
      <c r="F264" s="13">
        <f t="shared" si="4"/>
        <v>111463.70000000017</v>
      </c>
    </row>
    <row r="265" spans="1:6" ht="15" customHeight="1" x14ac:dyDescent="0.25">
      <c r="A265" s="9">
        <v>46133</v>
      </c>
      <c r="B265" s="5" t="s">
        <v>337</v>
      </c>
      <c r="C265" s="4"/>
      <c r="D265" s="20">
        <v>108963.7</v>
      </c>
      <c r="E265" s="16"/>
      <c r="F265" s="13">
        <f t="shared" si="4"/>
        <v>2500.0000000001746</v>
      </c>
    </row>
    <row r="266" spans="1:6" ht="15" customHeight="1" x14ac:dyDescent="0.25">
      <c r="A266" s="8">
        <v>46133</v>
      </c>
      <c r="B266" s="7" t="s">
        <v>338</v>
      </c>
      <c r="C266" s="6"/>
      <c r="D266" s="22">
        <v>0</v>
      </c>
      <c r="E266" s="15">
        <v>5000</v>
      </c>
      <c r="F266" s="13">
        <f t="shared" si="4"/>
        <v>7500.0000000001746</v>
      </c>
    </row>
    <row r="267" spans="1:6" ht="15" customHeight="1" x14ac:dyDescent="0.25">
      <c r="A267" s="9">
        <v>46134</v>
      </c>
      <c r="B267" s="5" t="s">
        <v>339</v>
      </c>
      <c r="C267" s="4"/>
      <c r="D267" s="16"/>
      <c r="E267" s="24">
        <v>195840</v>
      </c>
      <c r="F267" s="13">
        <f t="shared" si="4"/>
        <v>203340.00000000017</v>
      </c>
    </row>
    <row r="268" spans="1:6" ht="15" customHeight="1" x14ac:dyDescent="0.25">
      <c r="A268" s="8">
        <v>46134</v>
      </c>
      <c r="B268" s="7" t="s">
        <v>340</v>
      </c>
      <c r="C268" s="6"/>
      <c r="D268" s="15"/>
      <c r="E268" s="26">
        <v>73388.240000000005</v>
      </c>
      <c r="F268" s="13">
        <f t="shared" si="4"/>
        <v>276728.24000000017</v>
      </c>
    </row>
    <row r="269" spans="1:6" ht="15" customHeight="1" x14ac:dyDescent="0.25">
      <c r="A269" s="9">
        <v>46134</v>
      </c>
      <c r="B269" s="5" t="s">
        <v>341</v>
      </c>
      <c r="C269" s="4"/>
      <c r="D269" s="16"/>
      <c r="E269" s="24">
        <v>3079</v>
      </c>
      <c r="F269" s="13">
        <f t="shared" si="4"/>
        <v>279807.24000000017</v>
      </c>
    </row>
    <row r="270" spans="1:6" ht="15" customHeight="1" x14ac:dyDescent="0.25">
      <c r="A270" s="8">
        <v>46134</v>
      </c>
      <c r="B270" s="7" t="s">
        <v>342</v>
      </c>
      <c r="C270" s="6"/>
      <c r="D270" s="22">
        <v>259307.24</v>
      </c>
      <c r="E270" s="15"/>
      <c r="F270" s="13">
        <f t="shared" si="4"/>
        <v>20500.000000000175</v>
      </c>
    </row>
    <row r="271" spans="1:6" ht="15" customHeight="1" x14ac:dyDescent="0.25">
      <c r="A271" s="9">
        <v>46134</v>
      </c>
      <c r="B271" s="5" t="s">
        <v>343</v>
      </c>
      <c r="C271" s="4"/>
      <c r="D271" s="16"/>
      <c r="E271" s="24">
        <v>15047</v>
      </c>
      <c r="F271" s="13">
        <f t="shared" si="4"/>
        <v>35547.000000000175</v>
      </c>
    </row>
    <row r="272" spans="1:6" ht="15" customHeight="1" x14ac:dyDescent="0.25">
      <c r="A272" s="8">
        <v>46134</v>
      </c>
      <c r="B272" s="7" t="s">
        <v>344</v>
      </c>
      <c r="C272" s="6"/>
      <c r="D272" s="15"/>
      <c r="E272" s="26">
        <v>43401</v>
      </c>
      <c r="F272" s="13">
        <f t="shared" si="4"/>
        <v>78948.000000000175</v>
      </c>
    </row>
    <row r="273" spans="1:6" ht="15" customHeight="1" x14ac:dyDescent="0.25">
      <c r="A273" s="9">
        <v>46134</v>
      </c>
      <c r="B273" s="5" t="s">
        <v>345</v>
      </c>
      <c r="C273" s="4"/>
      <c r="D273" s="16"/>
      <c r="E273" s="24">
        <v>37750</v>
      </c>
      <c r="F273" s="13">
        <f t="shared" si="4"/>
        <v>116698.00000000017</v>
      </c>
    </row>
    <row r="274" spans="1:6" ht="15" customHeight="1" x14ac:dyDescent="0.25">
      <c r="A274" s="8">
        <v>46134</v>
      </c>
      <c r="B274" s="7" t="s">
        <v>346</v>
      </c>
      <c r="C274" s="6"/>
      <c r="D274" s="15"/>
      <c r="E274" s="26">
        <v>100000</v>
      </c>
      <c r="F274" s="13">
        <f t="shared" si="4"/>
        <v>216698.00000000017</v>
      </c>
    </row>
    <row r="275" spans="1:6" ht="15" customHeight="1" x14ac:dyDescent="0.25">
      <c r="A275" s="9">
        <v>46134</v>
      </c>
      <c r="B275" s="5" t="s">
        <v>347</v>
      </c>
      <c r="C275" s="4"/>
      <c r="D275" s="16"/>
      <c r="E275" s="24">
        <v>7484.8</v>
      </c>
      <c r="F275" s="13">
        <f t="shared" si="4"/>
        <v>224182.80000000016</v>
      </c>
    </row>
    <row r="276" spans="1:6" ht="15" customHeight="1" x14ac:dyDescent="0.25">
      <c r="A276" s="8">
        <v>46134</v>
      </c>
      <c r="B276" s="7" t="s">
        <v>348</v>
      </c>
      <c r="C276" s="6"/>
      <c r="D276" s="15"/>
      <c r="E276" s="26">
        <v>9044</v>
      </c>
      <c r="F276" s="13">
        <f t="shared" si="4"/>
        <v>233226.80000000016</v>
      </c>
    </row>
    <row r="277" spans="1:6" ht="15" customHeight="1" x14ac:dyDescent="0.25">
      <c r="A277" s="9">
        <v>46134</v>
      </c>
      <c r="B277" s="5" t="s">
        <v>349</v>
      </c>
      <c r="C277" s="4"/>
      <c r="D277" s="16"/>
      <c r="E277" s="24">
        <v>63308</v>
      </c>
      <c r="F277" s="13">
        <f t="shared" si="4"/>
        <v>296534.80000000016</v>
      </c>
    </row>
    <row r="278" spans="1:6" ht="15" customHeight="1" x14ac:dyDescent="0.25">
      <c r="A278" s="8">
        <v>46134</v>
      </c>
      <c r="B278" s="7" t="s">
        <v>350</v>
      </c>
      <c r="C278" s="6"/>
      <c r="D278" s="15"/>
      <c r="E278" s="26">
        <v>62222</v>
      </c>
      <c r="F278" s="13">
        <f t="shared" si="4"/>
        <v>358756.80000000016</v>
      </c>
    </row>
    <row r="279" spans="1:6" ht="15" customHeight="1" x14ac:dyDescent="0.25">
      <c r="A279" s="9">
        <v>46134</v>
      </c>
      <c r="B279" s="5" t="s">
        <v>351</v>
      </c>
      <c r="C279" s="4"/>
      <c r="D279" s="20">
        <v>356256.8</v>
      </c>
      <c r="E279" s="16"/>
      <c r="F279" s="13">
        <f t="shared" si="4"/>
        <v>2500.0000000001746</v>
      </c>
    </row>
    <row r="280" spans="1:6" ht="15" customHeight="1" x14ac:dyDescent="0.25">
      <c r="A280" s="8">
        <v>46134</v>
      </c>
      <c r="B280" s="7" t="s">
        <v>352</v>
      </c>
      <c r="C280" s="6" t="s">
        <v>353</v>
      </c>
      <c r="D280" s="15"/>
      <c r="E280" s="26">
        <v>50000</v>
      </c>
      <c r="F280" s="13">
        <f t="shared" si="4"/>
        <v>52500.000000000175</v>
      </c>
    </row>
    <row r="281" spans="1:6" ht="15" customHeight="1" x14ac:dyDescent="0.25">
      <c r="A281" s="9">
        <v>46134</v>
      </c>
      <c r="B281" s="5" t="s">
        <v>354</v>
      </c>
      <c r="C281" s="4"/>
      <c r="D281" s="20">
        <v>50000</v>
      </c>
      <c r="E281" s="16"/>
      <c r="F281" s="13">
        <f t="shared" si="4"/>
        <v>2500.0000000001746</v>
      </c>
    </row>
    <row r="282" spans="1:6" ht="15" customHeight="1" x14ac:dyDescent="0.25">
      <c r="A282" s="8">
        <v>46135</v>
      </c>
      <c r="B282" s="7" t="s">
        <v>355</v>
      </c>
      <c r="C282" s="6"/>
      <c r="D282" s="15"/>
      <c r="E282" s="26">
        <v>224683</v>
      </c>
      <c r="F282" s="13">
        <f t="shared" si="4"/>
        <v>227183.00000000017</v>
      </c>
    </row>
    <row r="283" spans="1:6" ht="15" customHeight="1" x14ac:dyDescent="0.25">
      <c r="A283" s="9">
        <v>46135</v>
      </c>
      <c r="B283" s="5" t="s">
        <v>356</v>
      </c>
      <c r="C283" s="4"/>
      <c r="D283" s="20">
        <v>224683</v>
      </c>
      <c r="E283" s="16"/>
      <c r="F283" s="13">
        <f t="shared" si="4"/>
        <v>2500.0000000001746</v>
      </c>
    </row>
    <row r="284" spans="1:6" ht="15" customHeight="1" x14ac:dyDescent="0.25">
      <c r="A284" s="8">
        <v>46135</v>
      </c>
      <c r="B284" s="7" t="s">
        <v>357</v>
      </c>
      <c r="C284" s="6"/>
      <c r="D284" s="15"/>
      <c r="E284" s="26">
        <v>82795.520000000004</v>
      </c>
      <c r="F284" s="13">
        <f t="shared" si="4"/>
        <v>85295.520000000179</v>
      </c>
    </row>
    <row r="285" spans="1:6" ht="15" customHeight="1" x14ac:dyDescent="0.25">
      <c r="A285" s="9">
        <v>46135</v>
      </c>
      <c r="B285" s="5" t="s">
        <v>358</v>
      </c>
      <c r="C285" s="4"/>
      <c r="D285" s="20">
        <v>82795.520000000004</v>
      </c>
      <c r="E285" s="16"/>
      <c r="F285" s="13">
        <f t="shared" si="4"/>
        <v>2500.0000000001746</v>
      </c>
    </row>
    <row r="286" spans="1:6" ht="15" customHeight="1" x14ac:dyDescent="0.25">
      <c r="A286" s="8">
        <v>46135</v>
      </c>
      <c r="B286" s="7" t="s">
        <v>359</v>
      </c>
      <c r="C286" s="6"/>
      <c r="D286" s="15"/>
      <c r="E286" s="26">
        <v>9330</v>
      </c>
      <c r="F286" s="13">
        <f t="shared" si="4"/>
        <v>11830.000000000175</v>
      </c>
    </row>
    <row r="287" spans="1:6" ht="15" customHeight="1" x14ac:dyDescent="0.25">
      <c r="A287" s="9">
        <v>46135</v>
      </c>
      <c r="B287" s="5" t="s">
        <v>360</v>
      </c>
      <c r="C287" s="4"/>
      <c r="D287" s="16"/>
      <c r="E287" s="24">
        <v>214974</v>
      </c>
      <c r="F287" s="13">
        <f t="shared" si="4"/>
        <v>226804.00000000017</v>
      </c>
    </row>
    <row r="288" spans="1:6" ht="15" customHeight="1" x14ac:dyDescent="0.25">
      <c r="A288" s="8">
        <v>46135</v>
      </c>
      <c r="B288" s="7" t="s">
        <v>361</v>
      </c>
      <c r="C288" s="6"/>
      <c r="D288" s="15"/>
      <c r="E288" s="26">
        <v>45220</v>
      </c>
      <c r="F288" s="13">
        <f t="shared" si="4"/>
        <v>272024.00000000017</v>
      </c>
    </row>
    <row r="289" spans="1:6" ht="15" customHeight="1" x14ac:dyDescent="0.25">
      <c r="A289" s="9">
        <v>46135</v>
      </c>
      <c r="B289" s="5" t="s">
        <v>362</v>
      </c>
      <c r="C289" s="4"/>
      <c r="D289" s="20">
        <v>269000</v>
      </c>
      <c r="E289" s="16"/>
      <c r="F289" s="13">
        <f t="shared" si="4"/>
        <v>3024.0000000001746</v>
      </c>
    </row>
    <row r="290" spans="1:6" ht="15" customHeight="1" x14ac:dyDescent="0.25">
      <c r="A290" s="8">
        <v>46135</v>
      </c>
      <c r="B290" s="7" t="s">
        <v>363</v>
      </c>
      <c r="C290" s="6"/>
      <c r="D290" s="21">
        <v>2.65</v>
      </c>
      <c r="E290" s="15"/>
      <c r="F290" s="13">
        <f t="shared" si="4"/>
        <v>3021.3500000001745</v>
      </c>
    </row>
    <row r="291" spans="1:6" ht="15" customHeight="1" x14ac:dyDescent="0.25">
      <c r="A291" s="9">
        <v>46135</v>
      </c>
      <c r="B291" s="5" t="s">
        <v>364</v>
      </c>
      <c r="C291" s="4"/>
      <c r="D291" s="20">
        <v>1000</v>
      </c>
      <c r="E291" s="16"/>
      <c r="F291" s="13">
        <f t="shared" si="4"/>
        <v>2021.3500000001745</v>
      </c>
    </row>
    <row r="292" spans="1:6" ht="15" customHeight="1" x14ac:dyDescent="0.25">
      <c r="A292" s="8">
        <v>46135</v>
      </c>
      <c r="B292" s="7" t="s">
        <v>365</v>
      </c>
      <c r="C292" s="6"/>
      <c r="D292" s="15"/>
      <c r="E292" s="26">
        <v>124000</v>
      </c>
      <c r="F292" s="13">
        <f t="shared" si="4"/>
        <v>126021.35000000018</v>
      </c>
    </row>
    <row r="293" spans="1:6" ht="15" customHeight="1" x14ac:dyDescent="0.25">
      <c r="A293" s="9">
        <v>46135</v>
      </c>
      <c r="B293" s="5" t="s">
        <v>366</v>
      </c>
      <c r="C293" s="4"/>
      <c r="D293" s="16"/>
      <c r="E293" s="24">
        <v>4000</v>
      </c>
      <c r="F293" s="13">
        <f t="shared" si="4"/>
        <v>130021.35000000018</v>
      </c>
    </row>
    <row r="294" spans="1:6" ht="15" customHeight="1" x14ac:dyDescent="0.25">
      <c r="A294" s="8">
        <v>46135</v>
      </c>
      <c r="B294" s="7" t="s">
        <v>367</v>
      </c>
      <c r="C294" s="6"/>
      <c r="D294" s="15"/>
      <c r="E294" s="26">
        <v>4796</v>
      </c>
      <c r="F294" s="13">
        <f t="shared" si="4"/>
        <v>134817.35000000018</v>
      </c>
    </row>
    <row r="295" spans="1:6" ht="15" customHeight="1" x14ac:dyDescent="0.25">
      <c r="A295" s="9">
        <v>46135</v>
      </c>
      <c r="B295" s="5" t="s">
        <v>368</v>
      </c>
      <c r="C295" s="4"/>
      <c r="D295" s="16"/>
      <c r="E295" s="24">
        <v>4400</v>
      </c>
      <c r="F295" s="13">
        <f t="shared" si="4"/>
        <v>139217.35000000018</v>
      </c>
    </row>
    <row r="296" spans="1:6" ht="15" customHeight="1" x14ac:dyDescent="0.25">
      <c r="A296" s="8">
        <v>46135</v>
      </c>
      <c r="B296" s="7" t="s">
        <v>369</v>
      </c>
      <c r="C296" s="6"/>
      <c r="D296" s="15"/>
      <c r="E296" s="26">
        <v>54264</v>
      </c>
      <c r="F296" s="13">
        <f t="shared" si="4"/>
        <v>193481.35000000018</v>
      </c>
    </row>
    <row r="297" spans="1:6" ht="15" customHeight="1" x14ac:dyDescent="0.25">
      <c r="A297" s="9">
        <v>46135</v>
      </c>
      <c r="B297" s="5" t="s">
        <v>370</v>
      </c>
      <c r="C297" s="4"/>
      <c r="D297" s="16"/>
      <c r="E297" s="24">
        <v>31654</v>
      </c>
      <c r="F297" s="13">
        <f t="shared" si="4"/>
        <v>225135.35000000018</v>
      </c>
    </row>
    <row r="298" spans="1:6" ht="15" customHeight="1" x14ac:dyDescent="0.25">
      <c r="A298" s="8">
        <v>46135</v>
      </c>
      <c r="B298" s="7" t="s">
        <v>371</v>
      </c>
      <c r="C298" s="6"/>
      <c r="D298" s="22">
        <v>222635.35</v>
      </c>
      <c r="E298" s="15"/>
      <c r="F298" s="13">
        <f t="shared" si="4"/>
        <v>2500.0000000001746</v>
      </c>
    </row>
    <row r="299" spans="1:6" ht="15" customHeight="1" x14ac:dyDescent="0.25">
      <c r="A299" s="9">
        <v>46136</v>
      </c>
      <c r="B299" s="5" t="s">
        <v>372</v>
      </c>
      <c r="C299" s="4"/>
      <c r="D299" s="16"/>
      <c r="E299" s="24">
        <v>234281</v>
      </c>
      <c r="F299" s="13">
        <f t="shared" si="4"/>
        <v>236781.00000000017</v>
      </c>
    </row>
    <row r="300" spans="1:6" ht="15" customHeight="1" x14ac:dyDescent="0.25">
      <c r="A300" s="8">
        <v>46136</v>
      </c>
      <c r="B300" s="7" t="s">
        <v>373</v>
      </c>
      <c r="C300" s="6"/>
      <c r="D300" s="15"/>
      <c r="E300" s="26">
        <v>81529</v>
      </c>
      <c r="F300" s="13">
        <f t="shared" si="4"/>
        <v>318310.00000000017</v>
      </c>
    </row>
    <row r="301" spans="1:6" ht="15" customHeight="1" x14ac:dyDescent="0.25">
      <c r="A301" s="9">
        <v>46136</v>
      </c>
      <c r="B301" s="5" t="s">
        <v>374</v>
      </c>
      <c r="C301" s="4"/>
      <c r="D301" s="16"/>
      <c r="E301" s="24">
        <v>3100</v>
      </c>
      <c r="F301" s="13">
        <f t="shared" si="4"/>
        <v>321410.00000000017</v>
      </c>
    </row>
    <row r="302" spans="1:6" ht="15" customHeight="1" x14ac:dyDescent="0.25">
      <c r="A302" s="8">
        <v>46136</v>
      </c>
      <c r="B302" s="7" t="s">
        <v>375</v>
      </c>
      <c r="C302" s="6"/>
      <c r="D302" s="15"/>
      <c r="E302" s="26">
        <v>90493</v>
      </c>
      <c r="F302" s="13">
        <f t="shared" si="4"/>
        <v>411903.00000000017</v>
      </c>
    </row>
    <row r="303" spans="1:6" ht="15" customHeight="1" x14ac:dyDescent="0.25">
      <c r="A303" s="9">
        <v>46136</v>
      </c>
      <c r="B303" s="5" t="s">
        <v>376</v>
      </c>
      <c r="C303" s="4"/>
      <c r="D303" s="20">
        <v>400403</v>
      </c>
      <c r="E303" s="16"/>
      <c r="F303" s="13">
        <f t="shared" si="4"/>
        <v>11500.000000000175</v>
      </c>
    </row>
    <row r="304" spans="1:6" ht="15" customHeight="1" x14ac:dyDescent="0.25">
      <c r="A304" s="8">
        <v>46136</v>
      </c>
      <c r="B304" s="7" t="s">
        <v>377</v>
      </c>
      <c r="C304" s="6"/>
      <c r="D304" s="15"/>
      <c r="E304" s="26">
        <v>2710</v>
      </c>
      <c r="F304" s="13">
        <f t="shared" si="4"/>
        <v>14210.000000000175</v>
      </c>
    </row>
    <row r="305" spans="1:6" ht="15" customHeight="1" x14ac:dyDescent="0.25">
      <c r="A305" s="9">
        <v>46136</v>
      </c>
      <c r="B305" s="5" t="s">
        <v>378</v>
      </c>
      <c r="C305" s="4"/>
      <c r="D305" s="16"/>
      <c r="E305" s="24">
        <v>20000</v>
      </c>
      <c r="F305" s="13">
        <f t="shared" si="4"/>
        <v>34210.000000000175</v>
      </c>
    </row>
    <row r="306" spans="1:6" ht="15" customHeight="1" x14ac:dyDescent="0.25">
      <c r="A306" s="8">
        <v>46136</v>
      </c>
      <c r="B306" s="7" t="s">
        <v>379</v>
      </c>
      <c r="C306" s="6"/>
      <c r="D306" s="15"/>
      <c r="E306" s="26">
        <v>4545</v>
      </c>
      <c r="F306" s="13">
        <f t="shared" si="4"/>
        <v>38755.000000000175</v>
      </c>
    </row>
    <row r="307" spans="1:6" ht="15" customHeight="1" x14ac:dyDescent="0.25">
      <c r="A307" s="9">
        <v>46136</v>
      </c>
      <c r="B307" s="5" t="s">
        <v>380</v>
      </c>
      <c r="C307" s="4"/>
      <c r="D307" s="20">
        <v>13249</v>
      </c>
      <c r="E307" s="16"/>
      <c r="F307" s="13">
        <f t="shared" si="4"/>
        <v>25506.000000000175</v>
      </c>
    </row>
    <row r="308" spans="1:6" ht="15" customHeight="1" x14ac:dyDescent="0.25">
      <c r="A308" s="8">
        <v>46136</v>
      </c>
      <c r="B308" s="7" t="s">
        <v>381</v>
      </c>
      <c r="C308" s="6"/>
      <c r="D308" s="15"/>
      <c r="E308" s="26">
        <v>12063</v>
      </c>
      <c r="F308" s="13">
        <f t="shared" si="4"/>
        <v>37569.000000000175</v>
      </c>
    </row>
    <row r="309" spans="1:6" ht="15" customHeight="1" x14ac:dyDescent="0.25">
      <c r="A309" s="9">
        <v>46136</v>
      </c>
      <c r="B309" s="5" t="s">
        <v>382</v>
      </c>
      <c r="C309" s="4" t="s">
        <v>383</v>
      </c>
      <c r="D309" s="16"/>
      <c r="E309" s="24">
        <v>80000</v>
      </c>
      <c r="F309" s="13">
        <f t="shared" si="4"/>
        <v>117569.00000000017</v>
      </c>
    </row>
    <row r="310" spans="1:6" ht="15" customHeight="1" x14ac:dyDescent="0.25">
      <c r="A310" s="8">
        <v>46136</v>
      </c>
      <c r="B310" s="7" t="s">
        <v>384</v>
      </c>
      <c r="C310" s="6"/>
      <c r="D310" s="22">
        <v>115069</v>
      </c>
      <c r="E310" s="15"/>
      <c r="F310" s="13">
        <f t="shared" si="4"/>
        <v>2500.0000000001746</v>
      </c>
    </row>
    <row r="311" spans="1:6" ht="15" customHeight="1" x14ac:dyDescent="0.25">
      <c r="A311" s="9">
        <v>46137</v>
      </c>
      <c r="B311" s="5" t="s">
        <v>385</v>
      </c>
      <c r="C311" s="4"/>
      <c r="D311" s="16"/>
      <c r="E311" s="24">
        <v>273418</v>
      </c>
      <c r="F311" s="13">
        <f t="shared" si="4"/>
        <v>275918.00000000017</v>
      </c>
    </row>
    <row r="312" spans="1:6" ht="15" customHeight="1" x14ac:dyDescent="0.25">
      <c r="A312" s="8">
        <v>46137</v>
      </c>
      <c r="B312" s="7" t="s">
        <v>386</v>
      </c>
      <c r="C312" s="6"/>
      <c r="D312" s="22">
        <v>273418</v>
      </c>
      <c r="E312" s="15"/>
      <c r="F312" s="13">
        <f t="shared" si="4"/>
        <v>2500.0000000001746</v>
      </c>
    </row>
    <row r="313" spans="1:6" ht="15" customHeight="1" x14ac:dyDescent="0.25">
      <c r="A313" s="9">
        <v>46137</v>
      </c>
      <c r="B313" s="5" t="s">
        <v>387</v>
      </c>
      <c r="C313" s="4"/>
      <c r="D313" s="16"/>
      <c r="E313" s="24">
        <v>72545.929999999993</v>
      </c>
      <c r="F313" s="13">
        <f t="shared" si="4"/>
        <v>75045.930000000168</v>
      </c>
    </row>
    <row r="314" spans="1:6" ht="15" customHeight="1" x14ac:dyDescent="0.25">
      <c r="A314" s="8">
        <v>46137</v>
      </c>
      <c r="B314" s="7" t="s">
        <v>388</v>
      </c>
      <c r="C314" s="6"/>
      <c r="D314" s="22">
        <v>72545.929999999993</v>
      </c>
      <c r="E314" s="15"/>
      <c r="F314" s="13">
        <f t="shared" si="4"/>
        <v>2500.0000000001746</v>
      </c>
    </row>
    <row r="315" spans="1:6" ht="15" customHeight="1" x14ac:dyDescent="0.25">
      <c r="A315" s="9">
        <v>46137</v>
      </c>
      <c r="B315" s="5" t="s">
        <v>389</v>
      </c>
      <c r="C315" s="4"/>
      <c r="D315" s="16"/>
      <c r="E315" s="24">
        <v>1000</v>
      </c>
      <c r="F315" s="13">
        <f t="shared" si="4"/>
        <v>3500.0000000001746</v>
      </c>
    </row>
    <row r="316" spans="1:6" ht="15" customHeight="1" x14ac:dyDescent="0.25">
      <c r="A316" s="8">
        <v>46137</v>
      </c>
      <c r="B316" s="7" t="s">
        <v>390</v>
      </c>
      <c r="C316" s="6"/>
      <c r="D316" s="15"/>
      <c r="E316" s="26">
        <v>29350</v>
      </c>
      <c r="F316" s="13">
        <f t="shared" si="4"/>
        <v>32850.000000000175</v>
      </c>
    </row>
    <row r="317" spans="1:6" ht="15" customHeight="1" x14ac:dyDescent="0.25">
      <c r="A317" s="9">
        <v>46137</v>
      </c>
      <c r="B317" s="5" t="s">
        <v>391</v>
      </c>
      <c r="C317" s="4"/>
      <c r="D317" s="19">
        <v>5.6</v>
      </c>
      <c r="E317" s="16"/>
      <c r="F317" s="13">
        <f t="shared" si="4"/>
        <v>32844.400000000176</v>
      </c>
    </row>
    <row r="318" spans="1:6" ht="15" customHeight="1" x14ac:dyDescent="0.25">
      <c r="A318" s="8">
        <v>46137</v>
      </c>
      <c r="B318" s="7" t="s">
        <v>392</v>
      </c>
      <c r="C318" s="6"/>
      <c r="D318" s="22">
        <v>21988.35</v>
      </c>
      <c r="E318" s="15"/>
      <c r="F318" s="13">
        <f t="shared" si="4"/>
        <v>10856.050000000178</v>
      </c>
    </row>
    <row r="319" spans="1:6" ht="15" customHeight="1" x14ac:dyDescent="0.25">
      <c r="A319" s="9">
        <v>46137</v>
      </c>
      <c r="B319" s="5" t="s">
        <v>393</v>
      </c>
      <c r="C319" s="4"/>
      <c r="D319" s="16"/>
      <c r="E319" s="24">
        <v>28088</v>
      </c>
      <c r="F319" s="13">
        <f t="shared" si="4"/>
        <v>38944.050000000178</v>
      </c>
    </row>
    <row r="320" spans="1:6" ht="15" customHeight="1" x14ac:dyDescent="0.25">
      <c r="A320" s="8">
        <v>46137</v>
      </c>
      <c r="B320" s="7" t="s">
        <v>394</v>
      </c>
      <c r="C320" s="6"/>
      <c r="D320" s="15"/>
      <c r="E320" s="26">
        <v>100000</v>
      </c>
      <c r="F320" s="13">
        <f t="shared" si="4"/>
        <v>138944.05000000016</v>
      </c>
    </row>
    <row r="321" spans="1:6" ht="15" customHeight="1" x14ac:dyDescent="0.25">
      <c r="A321" s="9">
        <v>46137</v>
      </c>
      <c r="B321" s="5" t="s">
        <v>395</v>
      </c>
      <c r="C321" s="4"/>
      <c r="D321" s="16"/>
      <c r="E321" s="24">
        <v>7389</v>
      </c>
      <c r="F321" s="13">
        <f t="shared" si="4"/>
        <v>146333.05000000016</v>
      </c>
    </row>
    <row r="322" spans="1:6" ht="15" customHeight="1" x14ac:dyDescent="0.25">
      <c r="A322" s="8">
        <v>46137</v>
      </c>
      <c r="B322" s="7" t="s">
        <v>396</v>
      </c>
      <c r="C322" s="6"/>
      <c r="D322" s="15"/>
      <c r="E322" s="26">
        <v>19014.099999999999</v>
      </c>
      <c r="F322" s="13">
        <f t="shared" si="4"/>
        <v>165347.15000000017</v>
      </c>
    </row>
    <row r="323" spans="1:6" ht="15" customHeight="1" x14ac:dyDescent="0.25">
      <c r="A323" s="9">
        <v>46137</v>
      </c>
      <c r="B323" s="5" t="s">
        <v>397</v>
      </c>
      <c r="C323" s="4"/>
      <c r="D323" s="16"/>
      <c r="E323" s="24">
        <v>9400</v>
      </c>
      <c r="F323" s="13">
        <f t="shared" si="4"/>
        <v>174747.15000000017</v>
      </c>
    </row>
    <row r="324" spans="1:6" ht="15" customHeight="1" x14ac:dyDescent="0.25">
      <c r="A324" s="8">
        <v>46137</v>
      </c>
      <c r="B324" s="7" t="s">
        <v>398</v>
      </c>
      <c r="C324" s="6"/>
      <c r="D324" s="22">
        <v>172247.15</v>
      </c>
      <c r="E324" s="15"/>
      <c r="F324" s="13">
        <f t="shared" ref="F324:F387" si="5">+F323-D324+E324</f>
        <v>2500.0000000001746</v>
      </c>
    </row>
    <row r="325" spans="1:6" ht="15" customHeight="1" x14ac:dyDescent="0.25">
      <c r="A325" s="9">
        <v>46138</v>
      </c>
      <c r="B325" s="5" t="s">
        <v>399</v>
      </c>
      <c r="C325" s="4"/>
      <c r="D325" s="16"/>
      <c r="E325" s="24">
        <v>244934</v>
      </c>
      <c r="F325" s="13">
        <f t="shared" si="5"/>
        <v>247434.00000000017</v>
      </c>
    </row>
    <row r="326" spans="1:6" ht="15" customHeight="1" x14ac:dyDescent="0.25">
      <c r="A326" s="8">
        <v>46138</v>
      </c>
      <c r="B326" s="7" t="s">
        <v>400</v>
      </c>
      <c r="C326" s="6"/>
      <c r="D326" s="15"/>
      <c r="E326" s="26">
        <v>100291.79</v>
      </c>
      <c r="F326" s="13">
        <f t="shared" si="5"/>
        <v>347725.79000000015</v>
      </c>
    </row>
    <row r="327" spans="1:6" ht="15" customHeight="1" x14ac:dyDescent="0.25">
      <c r="A327" s="9">
        <v>46138</v>
      </c>
      <c r="B327" s="5" t="s">
        <v>401</v>
      </c>
      <c r="C327" s="4"/>
      <c r="D327" s="16"/>
      <c r="E327" s="24">
        <v>3765</v>
      </c>
      <c r="F327" s="13">
        <f t="shared" si="5"/>
        <v>351490.79000000015</v>
      </c>
    </row>
    <row r="328" spans="1:6" ht="15" customHeight="1" x14ac:dyDescent="0.25">
      <c r="A328" s="8">
        <v>46138</v>
      </c>
      <c r="B328" s="7" t="s">
        <v>402</v>
      </c>
      <c r="C328" s="6"/>
      <c r="D328" s="22">
        <v>300990.78999999998</v>
      </c>
      <c r="E328" s="15"/>
      <c r="F328" s="13">
        <f t="shared" si="5"/>
        <v>50500.000000000175</v>
      </c>
    </row>
    <row r="329" spans="1:6" ht="15" customHeight="1" x14ac:dyDescent="0.25">
      <c r="A329" s="9">
        <v>46138</v>
      </c>
      <c r="B329" s="5" t="s">
        <v>403</v>
      </c>
      <c r="C329" s="4"/>
      <c r="D329" s="16"/>
      <c r="E329" s="24">
        <v>63308</v>
      </c>
      <c r="F329" s="13">
        <f t="shared" si="5"/>
        <v>113808.00000000017</v>
      </c>
    </row>
    <row r="330" spans="1:6" ht="15" customHeight="1" x14ac:dyDescent="0.25">
      <c r="A330" s="8">
        <v>46138</v>
      </c>
      <c r="B330" s="7" t="s">
        <v>404</v>
      </c>
      <c r="C330" s="6"/>
      <c r="D330" s="15"/>
      <c r="E330" s="26">
        <v>3420</v>
      </c>
      <c r="F330" s="13">
        <f t="shared" si="5"/>
        <v>117228.00000000017</v>
      </c>
    </row>
    <row r="331" spans="1:6" ht="15" customHeight="1" x14ac:dyDescent="0.25">
      <c r="A331" s="9">
        <v>46138</v>
      </c>
      <c r="B331" s="5" t="s">
        <v>405</v>
      </c>
      <c r="C331" s="4"/>
      <c r="D331" s="20">
        <v>114728</v>
      </c>
      <c r="E331" s="16"/>
      <c r="F331" s="13">
        <f t="shared" si="5"/>
        <v>2500.0000000001746</v>
      </c>
    </row>
    <row r="332" spans="1:6" ht="15" customHeight="1" x14ac:dyDescent="0.25">
      <c r="A332" s="8">
        <v>46139</v>
      </c>
      <c r="B332" s="7" t="s">
        <v>406</v>
      </c>
      <c r="C332" s="6"/>
      <c r="D332" s="15"/>
      <c r="E332" s="26">
        <v>243320.8</v>
      </c>
      <c r="F332" s="13">
        <f t="shared" si="5"/>
        <v>245820.80000000016</v>
      </c>
    </row>
    <row r="333" spans="1:6" ht="15" customHeight="1" x14ac:dyDescent="0.25">
      <c r="A333" s="9">
        <v>46139</v>
      </c>
      <c r="B333" s="5" t="s">
        <v>407</v>
      </c>
      <c r="C333" s="4"/>
      <c r="D333" s="16"/>
      <c r="E333" s="24">
        <v>109488</v>
      </c>
      <c r="F333" s="13">
        <f t="shared" si="5"/>
        <v>355308.80000000016</v>
      </c>
    </row>
    <row r="334" spans="1:6" ht="15" customHeight="1" x14ac:dyDescent="0.25">
      <c r="A334" s="8">
        <v>46139</v>
      </c>
      <c r="B334" s="7" t="s">
        <v>408</v>
      </c>
      <c r="C334" s="6"/>
      <c r="D334" s="15"/>
      <c r="E334" s="26">
        <v>1900</v>
      </c>
      <c r="F334" s="13">
        <f t="shared" si="5"/>
        <v>357208.80000000016</v>
      </c>
    </row>
    <row r="335" spans="1:6" ht="15" customHeight="1" x14ac:dyDescent="0.25">
      <c r="A335" s="9">
        <v>46139</v>
      </c>
      <c r="B335" s="5" t="s">
        <v>409</v>
      </c>
      <c r="C335" s="4"/>
      <c r="D335" s="16"/>
      <c r="E335" s="24">
        <v>73824</v>
      </c>
      <c r="F335" s="13">
        <f t="shared" si="5"/>
        <v>431032.80000000016</v>
      </c>
    </row>
    <row r="336" spans="1:6" ht="15" customHeight="1" x14ac:dyDescent="0.25">
      <c r="A336" s="8">
        <v>46139</v>
      </c>
      <c r="B336" s="7" t="s">
        <v>410</v>
      </c>
      <c r="C336" s="6"/>
      <c r="D336" s="15"/>
      <c r="E336" s="26">
        <v>31285</v>
      </c>
      <c r="F336" s="13">
        <f t="shared" si="5"/>
        <v>462317.80000000016</v>
      </c>
    </row>
    <row r="337" spans="1:6" ht="15" customHeight="1" x14ac:dyDescent="0.25">
      <c r="A337" s="9">
        <v>46139</v>
      </c>
      <c r="B337" s="5" t="s">
        <v>411</v>
      </c>
      <c r="C337" s="4"/>
      <c r="D337" s="20">
        <v>460000.8</v>
      </c>
      <c r="E337" s="16"/>
      <c r="F337" s="13">
        <f t="shared" si="5"/>
        <v>2317.0000000001746</v>
      </c>
    </row>
    <row r="338" spans="1:6" ht="15" customHeight="1" x14ac:dyDescent="0.25">
      <c r="A338" s="8">
        <v>46139</v>
      </c>
      <c r="B338" s="7" t="s">
        <v>412</v>
      </c>
      <c r="C338" s="6"/>
      <c r="D338" s="15"/>
      <c r="E338" s="26">
        <v>90440</v>
      </c>
      <c r="F338" s="13">
        <f t="shared" si="5"/>
        <v>92757.000000000175</v>
      </c>
    </row>
    <row r="339" spans="1:6" ht="15" customHeight="1" x14ac:dyDescent="0.25">
      <c r="A339" s="9">
        <v>46139</v>
      </c>
      <c r="B339" s="5" t="s">
        <v>413</v>
      </c>
      <c r="C339" s="4" t="s">
        <v>414</v>
      </c>
      <c r="D339" s="16"/>
      <c r="E339" s="23">
        <v>1</v>
      </c>
      <c r="F339" s="13">
        <f t="shared" si="5"/>
        <v>92758.000000000175</v>
      </c>
    </row>
    <row r="340" spans="1:6" ht="15" customHeight="1" x14ac:dyDescent="0.25">
      <c r="A340" s="8">
        <v>46139</v>
      </c>
      <c r="B340" s="7" t="s">
        <v>415</v>
      </c>
      <c r="C340" s="6" t="s">
        <v>416</v>
      </c>
      <c r="D340" s="15"/>
      <c r="E340" s="26">
        <v>45000</v>
      </c>
      <c r="F340" s="13">
        <f t="shared" si="5"/>
        <v>137758.00000000017</v>
      </c>
    </row>
    <row r="341" spans="1:6" ht="15" customHeight="1" x14ac:dyDescent="0.25">
      <c r="A341" s="9">
        <v>46139</v>
      </c>
      <c r="B341" s="5" t="s">
        <v>417</v>
      </c>
      <c r="C341" s="4"/>
      <c r="D341" s="16"/>
      <c r="E341" s="24">
        <v>24058</v>
      </c>
      <c r="F341" s="13">
        <f t="shared" si="5"/>
        <v>161816.00000000017</v>
      </c>
    </row>
    <row r="342" spans="1:6" ht="15" customHeight="1" x14ac:dyDescent="0.25">
      <c r="A342" s="8">
        <v>46139</v>
      </c>
      <c r="B342" s="7" t="s">
        <v>418</v>
      </c>
      <c r="C342" s="6"/>
      <c r="D342" s="15"/>
      <c r="E342" s="26">
        <v>150000</v>
      </c>
      <c r="F342" s="13">
        <f t="shared" si="5"/>
        <v>311816.00000000017</v>
      </c>
    </row>
    <row r="343" spans="1:6" ht="15" customHeight="1" x14ac:dyDescent="0.25">
      <c r="A343" s="9">
        <v>46139</v>
      </c>
      <c r="B343" s="5" t="s">
        <v>419</v>
      </c>
      <c r="C343" s="4"/>
      <c r="D343" s="16"/>
      <c r="E343" s="24">
        <v>5189</v>
      </c>
      <c r="F343" s="13">
        <f t="shared" si="5"/>
        <v>317005.00000000017</v>
      </c>
    </row>
    <row r="344" spans="1:6" ht="15" customHeight="1" x14ac:dyDescent="0.25">
      <c r="A344" s="8">
        <v>46139</v>
      </c>
      <c r="B344" s="7" t="s">
        <v>420</v>
      </c>
      <c r="C344" s="6"/>
      <c r="D344" s="15"/>
      <c r="E344" s="26">
        <v>50000</v>
      </c>
      <c r="F344" s="13">
        <f t="shared" si="5"/>
        <v>367005.00000000017</v>
      </c>
    </row>
    <row r="345" spans="1:6" ht="15" customHeight="1" x14ac:dyDescent="0.25">
      <c r="A345" s="9">
        <v>46139</v>
      </c>
      <c r="B345" s="5" t="s">
        <v>421</v>
      </c>
      <c r="C345" s="4"/>
      <c r="D345" s="20">
        <v>365005</v>
      </c>
      <c r="E345" s="16"/>
      <c r="F345" s="13">
        <f t="shared" si="5"/>
        <v>2000.0000000001746</v>
      </c>
    </row>
    <row r="346" spans="1:6" ht="15" customHeight="1" x14ac:dyDescent="0.25">
      <c r="A346" s="8">
        <v>46139</v>
      </c>
      <c r="B346" s="7" t="s">
        <v>422</v>
      </c>
      <c r="C346" s="6"/>
      <c r="D346" s="21">
        <v>0</v>
      </c>
      <c r="E346" s="21">
        <v>300</v>
      </c>
      <c r="F346" s="13">
        <f t="shared" si="5"/>
        <v>2300.0000000001746</v>
      </c>
    </row>
    <row r="347" spans="1:6" ht="15" customHeight="1" x14ac:dyDescent="0.25">
      <c r="A347" s="9">
        <v>46140</v>
      </c>
      <c r="B347" s="5" t="s">
        <v>423</v>
      </c>
      <c r="C347" s="4"/>
      <c r="D347" s="16"/>
      <c r="E347" s="24">
        <v>213696</v>
      </c>
      <c r="F347" s="13">
        <f t="shared" si="5"/>
        <v>215996.00000000017</v>
      </c>
    </row>
    <row r="348" spans="1:6" ht="15" customHeight="1" x14ac:dyDescent="0.25">
      <c r="A348" s="8">
        <v>46140</v>
      </c>
      <c r="B348" s="7" t="s">
        <v>424</v>
      </c>
      <c r="C348" s="6"/>
      <c r="D348" s="15"/>
      <c r="E348" s="26">
        <v>51517.599999999999</v>
      </c>
      <c r="F348" s="13">
        <f t="shared" si="5"/>
        <v>267513.60000000015</v>
      </c>
    </row>
    <row r="349" spans="1:6" ht="15" customHeight="1" x14ac:dyDescent="0.25">
      <c r="A349" s="9">
        <v>46140</v>
      </c>
      <c r="B349" s="5" t="s">
        <v>425</v>
      </c>
      <c r="C349" s="4"/>
      <c r="D349" s="16"/>
      <c r="E349" s="24">
        <v>23786</v>
      </c>
      <c r="F349" s="13">
        <f t="shared" si="5"/>
        <v>291299.60000000015</v>
      </c>
    </row>
    <row r="350" spans="1:6" ht="15" customHeight="1" x14ac:dyDescent="0.25">
      <c r="A350" s="8">
        <v>46140</v>
      </c>
      <c r="B350" s="7" t="s">
        <v>426</v>
      </c>
      <c r="C350" s="6"/>
      <c r="D350" s="15"/>
      <c r="E350" s="26">
        <v>52450</v>
      </c>
      <c r="F350" s="13">
        <f t="shared" si="5"/>
        <v>343749.60000000015</v>
      </c>
    </row>
    <row r="351" spans="1:6" ht="15" customHeight="1" x14ac:dyDescent="0.25">
      <c r="A351" s="9">
        <v>46140</v>
      </c>
      <c r="B351" s="5" t="s">
        <v>427</v>
      </c>
      <c r="C351" s="4" t="s">
        <v>428</v>
      </c>
      <c r="D351" s="20">
        <v>0</v>
      </c>
      <c r="E351" s="16">
        <v>4200</v>
      </c>
      <c r="F351" s="13">
        <f t="shared" si="5"/>
        <v>347949.60000000015</v>
      </c>
    </row>
    <row r="352" spans="1:6" ht="15" customHeight="1" x14ac:dyDescent="0.25">
      <c r="A352" s="8">
        <v>46140</v>
      </c>
      <c r="B352" s="7" t="s">
        <v>429</v>
      </c>
      <c r="C352" s="6"/>
      <c r="D352" s="15"/>
      <c r="E352" s="25">
        <v>1</v>
      </c>
      <c r="F352" s="13">
        <f t="shared" si="5"/>
        <v>347950.60000000015</v>
      </c>
    </row>
    <row r="353" spans="1:6" ht="15" customHeight="1" x14ac:dyDescent="0.25">
      <c r="A353" s="9">
        <v>46140</v>
      </c>
      <c r="B353" s="5" t="s">
        <v>430</v>
      </c>
      <c r="C353" s="4"/>
      <c r="D353" s="16"/>
      <c r="E353" s="24">
        <v>45220</v>
      </c>
      <c r="F353" s="13">
        <f t="shared" si="5"/>
        <v>393170.60000000015</v>
      </c>
    </row>
    <row r="354" spans="1:6" ht="15" customHeight="1" x14ac:dyDescent="0.25">
      <c r="A354" s="8">
        <v>46140</v>
      </c>
      <c r="B354" s="7" t="s">
        <v>431</v>
      </c>
      <c r="C354" s="6"/>
      <c r="D354" s="15"/>
      <c r="E354" s="26">
        <v>5500</v>
      </c>
      <c r="F354" s="13">
        <f t="shared" si="5"/>
        <v>398670.60000000015</v>
      </c>
    </row>
    <row r="355" spans="1:6" ht="15" customHeight="1" x14ac:dyDescent="0.25">
      <c r="A355" s="9">
        <v>46140</v>
      </c>
      <c r="B355" s="5" t="s">
        <v>432</v>
      </c>
      <c r="C355" s="4"/>
      <c r="D355" s="16"/>
      <c r="E355" s="24">
        <v>20049</v>
      </c>
      <c r="F355" s="13">
        <f t="shared" si="5"/>
        <v>418719.60000000015</v>
      </c>
    </row>
    <row r="356" spans="1:6" ht="15" customHeight="1" x14ac:dyDescent="0.25">
      <c r="A356" s="8">
        <v>46140</v>
      </c>
      <c r="B356" s="7" t="s">
        <v>433</v>
      </c>
      <c r="C356" s="6"/>
      <c r="D356" s="15"/>
      <c r="E356" s="26">
        <v>4579</v>
      </c>
      <c r="F356" s="13">
        <f t="shared" si="5"/>
        <v>423298.60000000015</v>
      </c>
    </row>
    <row r="357" spans="1:6" ht="15" customHeight="1" x14ac:dyDescent="0.25">
      <c r="A357" s="9">
        <v>46140</v>
      </c>
      <c r="B357" s="5" t="s">
        <v>434</v>
      </c>
      <c r="C357" s="4"/>
      <c r="D357" s="20">
        <v>402798.6</v>
      </c>
      <c r="E357" s="16"/>
      <c r="F357" s="13">
        <f t="shared" si="5"/>
        <v>20500.000000000175</v>
      </c>
    </row>
    <row r="358" spans="1:6" ht="15" customHeight="1" x14ac:dyDescent="0.25">
      <c r="A358" s="8">
        <v>46140</v>
      </c>
      <c r="B358" s="7" t="s">
        <v>435</v>
      </c>
      <c r="C358" s="6"/>
      <c r="D358" s="15"/>
      <c r="E358" s="26">
        <v>4741</v>
      </c>
      <c r="F358" s="13">
        <f t="shared" si="5"/>
        <v>25241.000000000175</v>
      </c>
    </row>
    <row r="359" spans="1:6" ht="15" customHeight="1" x14ac:dyDescent="0.25">
      <c r="A359" s="9">
        <v>46140</v>
      </c>
      <c r="B359" s="5" t="s">
        <v>436</v>
      </c>
      <c r="C359" s="4"/>
      <c r="D359" s="16"/>
      <c r="E359" s="24">
        <v>106203</v>
      </c>
      <c r="F359" s="13">
        <f t="shared" si="5"/>
        <v>131444.00000000017</v>
      </c>
    </row>
    <row r="360" spans="1:6" ht="15" customHeight="1" x14ac:dyDescent="0.25">
      <c r="A360" s="8">
        <v>46140</v>
      </c>
      <c r="B360" s="7" t="s">
        <v>437</v>
      </c>
      <c r="C360" s="6"/>
      <c r="D360" s="15"/>
      <c r="E360" s="26">
        <v>45155.79</v>
      </c>
      <c r="F360" s="13">
        <f t="shared" si="5"/>
        <v>176599.79000000018</v>
      </c>
    </row>
    <row r="361" spans="1:6" ht="15" customHeight="1" x14ac:dyDescent="0.25">
      <c r="A361" s="9">
        <v>46140</v>
      </c>
      <c r="B361" s="5" t="s">
        <v>438</v>
      </c>
      <c r="C361" s="4"/>
      <c r="D361" s="16"/>
      <c r="E361" s="24">
        <v>18152</v>
      </c>
      <c r="F361" s="13">
        <f t="shared" si="5"/>
        <v>194751.79000000018</v>
      </c>
    </row>
    <row r="362" spans="1:6" ht="15" customHeight="1" x14ac:dyDescent="0.25">
      <c r="A362" s="8">
        <v>46140</v>
      </c>
      <c r="B362" s="7" t="s">
        <v>439</v>
      </c>
      <c r="C362" s="6"/>
      <c r="D362" s="22">
        <v>192251.79</v>
      </c>
      <c r="E362" s="15"/>
      <c r="F362" s="13">
        <f t="shared" si="5"/>
        <v>2500.0000000001746</v>
      </c>
    </row>
    <row r="363" spans="1:6" ht="15" customHeight="1" x14ac:dyDescent="0.25">
      <c r="A363" s="9">
        <v>46141</v>
      </c>
      <c r="B363" s="5" t="s">
        <v>440</v>
      </c>
      <c r="C363" s="4"/>
      <c r="D363" s="16"/>
      <c r="E363" s="24">
        <v>300724.33</v>
      </c>
      <c r="F363" s="13">
        <f t="shared" si="5"/>
        <v>303224.33000000019</v>
      </c>
    </row>
    <row r="364" spans="1:6" ht="15" customHeight="1" x14ac:dyDescent="0.25">
      <c r="A364" s="8">
        <v>46141</v>
      </c>
      <c r="B364" s="7" t="s">
        <v>441</v>
      </c>
      <c r="C364" s="6"/>
      <c r="D364" s="15"/>
      <c r="E364" s="26">
        <v>80141</v>
      </c>
      <c r="F364" s="13">
        <f t="shared" si="5"/>
        <v>383365.33000000019</v>
      </c>
    </row>
    <row r="365" spans="1:6" ht="15" customHeight="1" x14ac:dyDescent="0.25">
      <c r="A365" s="9">
        <v>46141</v>
      </c>
      <c r="B365" s="5" t="s">
        <v>442</v>
      </c>
      <c r="C365" s="4"/>
      <c r="D365" s="16"/>
      <c r="E365" s="24">
        <v>2500</v>
      </c>
      <c r="F365" s="13">
        <f t="shared" si="5"/>
        <v>385865.33000000019</v>
      </c>
    </row>
    <row r="366" spans="1:6" ht="15" customHeight="1" x14ac:dyDescent="0.25">
      <c r="A366" s="8">
        <v>46141</v>
      </c>
      <c r="B366" s="7" t="s">
        <v>443</v>
      </c>
      <c r="C366" s="6"/>
      <c r="D366" s="22">
        <v>383365.33</v>
      </c>
      <c r="E366" s="15"/>
      <c r="F366" s="13">
        <f t="shared" si="5"/>
        <v>2500.0000000001746</v>
      </c>
    </row>
    <row r="367" spans="1:6" ht="15" customHeight="1" x14ac:dyDescent="0.25">
      <c r="A367" s="9">
        <v>46141</v>
      </c>
      <c r="B367" s="5" t="s">
        <v>444</v>
      </c>
      <c r="C367" s="4"/>
      <c r="D367" s="16"/>
      <c r="E367" s="24">
        <v>161953</v>
      </c>
      <c r="F367" s="13">
        <f t="shared" si="5"/>
        <v>164453.00000000017</v>
      </c>
    </row>
    <row r="368" spans="1:6" ht="15" customHeight="1" x14ac:dyDescent="0.25">
      <c r="A368" s="8">
        <v>46141</v>
      </c>
      <c r="B368" s="7" t="s">
        <v>445</v>
      </c>
      <c r="C368" s="6"/>
      <c r="D368" s="22">
        <v>161953</v>
      </c>
      <c r="E368" s="15"/>
      <c r="F368" s="13">
        <f t="shared" si="5"/>
        <v>2500.0000000001746</v>
      </c>
    </row>
    <row r="369" spans="1:6" ht="15" customHeight="1" x14ac:dyDescent="0.25">
      <c r="A369" s="9">
        <v>46141</v>
      </c>
      <c r="B369" s="5" t="s">
        <v>446</v>
      </c>
      <c r="C369" s="4" t="s">
        <v>447</v>
      </c>
      <c r="D369" s="20">
        <v>0</v>
      </c>
      <c r="E369" s="16">
        <v>4000</v>
      </c>
      <c r="F369" s="13">
        <f t="shared" si="5"/>
        <v>6500.0000000001746</v>
      </c>
    </row>
    <row r="370" spans="1:6" ht="15" customHeight="1" x14ac:dyDescent="0.25">
      <c r="A370" s="8">
        <v>46141</v>
      </c>
      <c r="B370" s="7" t="s">
        <v>448</v>
      </c>
      <c r="C370" s="6"/>
      <c r="D370" s="15"/>
      <c r="E370" s="26">
        <v>20000</v>
      </c>
      <c r="F370" s="13">
        <f t="shared" si="5"/>
        <v>26500.000000000175</v>
      </c>
    </row>
    <row r="371" spans="1:6" ht="15" customHeight="1" x14ac:dyDescent="0.25">
      <c r="A371" s="9">
        <v>46141</v>
      </c>
      <c r="B371" s="5" t="s">
        <v>449</v>
      </c>
      <c r="C371" s="4"/>
      <c r="D371" s="16"/>
      <c r="E371" s="24">
        <v>13500</v>
      </c>
      <c r="F371" s="13">
        <f t="shared" si="5"/>
        <v>40000.000000000175</v>
      </c>
    </row>
    <row r="372" spans="1:6" ht="15" customHeight="1" x14ac:dyDescent="0.25">
      <c r="A372" s="8">
        <v>46141</v>
      </c>
      <c r="B372" s="7" t="s">
        <v>450</v>
      </c>
      <c r="C372" s="6"/>
      <c r="D372" s="15"/>
      <c r="E372" s="26">
        <v>4372</v>
      </c>
      <c r="F372" s="13">
        <f t="shared" si="5"/>
        <v>44372.000000000175</v>
      </c>
    </row>
    <row r="373" spans="1:6" ht="15" customHeight="1" x14ac:dyDescent="0.25">
      <c r="A373" s="9">
        <v>46141</v>
      </c>
      <c r="B373" s="5" t="s">
        <v>451</v>
      </c>
      <c r="C373" s="4"/>
      <c r="D373" s="16"/>
      <c r="E373" s="24">
        <v>42165</v>
      </c>
      <c r="F373" s="13">
        <f t="shared" si="5"/>
        <v>86537.000000000175</v>
      </c>
    </row>
    <row r="374" spans="1:6" ht="15" customHeight="1" x14ac:dyDescent="0.25">
      <c r="A374" s="8">
        <v>46141</v>
      </c>
      <c r="B374" s="7" t="s">
        <v>452</v>
      </c>
      <c r="C374" s="6"/>
      <c r="D374" s="15"/>
      <c r="E374" s="26">
        <v>9227</v>
      </c>
      <c r="F374" s="13">
        <f t="shared" si="5"/>
        <v>95764.000000000175</v>
      </c>
    </row>
    <row r="375" spans="1:6" ht="15" customHeight="1" x14ac:dyDescent="0.25">
      <c r="A375" s="9">
        <v>46141</v>
      </c>
      <c r="B375" s="5" t="s">
        <v>453</v>
      </c>
      <c r="C375" s="4"/>
      <c r="D375" s="20">
        <v>93264</v>
      </c>
      <c r="E375" s="16"/>
      <c r="F375" s="13">
        <f t="shared" si="5"/>
        <v>2500.0000000001746</v>
      </c>
    </row>
    <row r="376" spans="1:6" ht="15" customHeight="1" x14ac:dyDescent="0.25">
      <c r="A376" s="8">
        <v>46141</v>
      </c>
      <c r="B376" s="7" t="s">
        <v>454</v>
      </c>
      <c r="C376" s="6"/>
      <c r="D376" s="15"/>
      <c r="E376" s="26">
        <v>47933</v>
      </c>
      <c r="F376" s="13">
        <f t="shared" si="5"/>
        <v>50433.000000000175</v>
      </c>
    </row>
    <row r="377" spans="1:6" ht="15" customHeight="1" x14ac:dyDescent="0.25">
      <c r="A377" s="9">
        <v>46141</v>
      </c>
      <c r="B377" s="5" t="s">
        <v>455</v>
      </c>
      <c r="C377" s="4"/>
      <c r="D377" s="16"/>
      <c r="E377" s="24">
        <v>44307</v>
      </c>
      <c r="F377" s="13">
        <f t="shared" si="5"/>
        <v>94740.000000000175</v>
      </c>
    </row>
    <row r="378" spans="1:6" ht="15" customHeight="1" x14ac:dyDescent="0.25">
      <c r="A378" s="8">
        <v>46141</v>
      </c>
      <c r="B378" s="7" t="s">
        <v>456</v>
      </c>
      <c r="C378" s="6"/>
      <c r="D378" s="22">
        <v>92240</v>
      </c>
      <c r="E378" s="15"/>
      <c r="F378" s="13">
        <f t="shared" si="5"/>
        <v>2500.0000000001746</v>
      </c>
    </row>
    <row r="379" spans="1:6" ht="15" customHeight="1" x14ac:dyDescent="0.25">
      <c r="A379" s="9">
        <v>46141</v>
      </c>
      <c r="B379" s="5" t="s">
        <v>457</v>
      </c>
      <c r="C379" s="4"/>
      <c r="D379" s="16"/>
      <c r="E379" s="24">
        <v>44070</v>
      </c>
      <c r="F379" s="13">
        <f t="shared" si="5"/>
        <v>46570.000000000175</v>
      </c>
    </row>
    <row r="380" spans="1:6" ht="15" customHeight="1" x14ac:dyDescent="0.25">
      <c r="A380" s="8">
        <v>46142</v>
      </c>
      <c r="B380" s="7" t="s">
        <v>458</v>
      </c>
      <c r="C380" s="6"/>
      <c r="D380" s="22">
        <v>44070</v>
      </c>
      <c r="E380" s="15"/>
      <c r="F380" s="13">
        <f t="shared" si="5"/>
        <v>2500.0000000001746</v>
      </c>
    </row>
    <row r="381" spans="1:6" ht="15" customHeight="1" x14ac:dyDescent="0.25">
      <c r="A381" s="9">
        <v>46142</v>
      </c>
      <c r="B381" s="5" t="s">
        <v>459</v>
      </c>
      <c r="C381" s="4"/>
      <c r="D381" s="16"/>
      <c r="E381" s="24">
        <v>331429.90999999997</v>
      </c>
      <c r="F381" s="13">
        <f t="shared" si="5"/>
        <v>333929.91000000015</v>
      </c>
    </row>
    <row r="382" spans="1:6" ht="15" customHeight="1" x14ac:dyDescent="0.25">
      <c r="A382" s="8">
        <v>46142</v>
      </c>
      <c r="B382" s="7" t="s">
        <v>460</v>
      </c>
      <c r="C382" s="6"/>
      <c r="D382" s="15"/>
      <c r="E382" s="26">
        <v>4500</v>
      </c>
      <c r="F382" s="13">
        <f t="shared" si="5"/>
        <v>338429.91000000015</v>
      </c>
    </row>
    <row r="383" spans="1:6" ht="15" customHeight="1" x14ac:dyDescent="0.25">
      <c r="A383" s="9">
        <v>46142</v>
      </c>
      <c r="B383" s="5" t="s">
        <v>461</v>
      </c>
      <c r="C383" s="4"/>
      <c r="D383" s="16"/>
      <c r="E383" s="24">
        <v>93657.2</v>
      </c>
      <c r="F383" s="13">
        <f t="shared" si="5"/>
        <v>432087.11000000016</v>
      </c>
    </row>
    <row r="384" spans="1:6" ht="15" customHeight="1" x14ac:dyDescent="0.25">
      <c r="A384" s="8">
        <v>46142</v>
      </c>
      <c r="B384" s="7" t="s">
        <v>462</v>
      </c>
      <c r="C384" s="6"/>
      <c r="D384" s="22">
        <v>429587.11</v>
      </c>
      <c r="E384" s="15"/>
      <c r="F384" s="13">
        <f t="shared" si="5"/>
        <v>2500.0000000001746</v>
      </c>
    </row>
    <row r="385" spans="1:6" ht="15" customHeight="1" x14ac:dyDescent="0.25">
      <c r="A385" s="9">
        <v>46142</v>
      </c>
      <c r="B385" s="5" t="s">
        <v>463</v>
      </c>
      <c r="C385" s="4"/>
      <c r="D385" s="16">
        <v>500</v>
      </c>
      <c r="E385" s="23">
        <v>0</v>
      </c>
      <c r="F385" s="13">
        <f t="shared" si="5"/>
        <v>2000.0000000001746</v>
      </c>
    </row>
    <row r="386" spans="1:6" ht="15" customHeight="1" x14ac:dyDescent="0.25">
      <c r="A386" s="8">
        <v>46142</v>
      </c>
      <c r="B386" s="7" t="s">
        <v>464</v>
      </c>
      <c r="C386" s="6"/>
      <c r="D386" s="21">
        <v>2.95</v>
      </c>
      <c r="E386" s="15"/>
      <c r="F386" s="13">
        <f t="shared" si="5"/>
        <v>1997.0500000001746</v>
      </c>
    </row>
    <row r="387" spans="1:6" ht="15" customHeight="1" x14ac:dyDescent="0.25">
      <c r="A387" s="9">
        <v>46142</v>
      </c>
      <c r="B387" s="5" t="s">
        <v>465</v>
      </c>
      <c r="C387" s="4" t="s">
        <v>466</v>
      </c>
      <c r="D387" s="16"/>
      <c r="E387" s="24">
        <v>11000</v>
      </c>
      <c r="F387" s="13">
        <f t="shared" si="5"/>
        <v>12997.050000000174</v>
      </c>
    </row>
    <row r="388" spans="1:6" ht="15" customHeight="1" x14ac:dyDescent="0.25">
      <c r="A388" s="8">
        <v>46142</v>
      </c>
      <c r="B388" s="7" t="s">
        <v>467</v>
      </c>
      <c r="C388" s="6"/>
      <c r="D388" s="15"/>
      <c r="E388" s="26">
        <v>98741</v>
      </c>
      <c r="F388" s="13">
        <f t="shared" ref="F388:F401" si="6">+F387-D388+E388</f>
        <v>111738.05000000018</v>
      </c>
    </row>
    <row r="389" spans="1:6" ht="15" customHeight="1" x14ac:dyDescent="0.25">
      <c r="A389" s="9">
        <v>46142</v>
      </c>
      <c r="B389" s="5" t="s">
        <v>468</v>
      </c>
      <c r="C389" s="4"/>
      <c r="D389" s="16"/>
      <c r="E389" s="24">
        <v>8700</v>
      </c>
      <c r="F389" s="13">
        <f t="shared" si="6"/>
        <v>120438.05000000018</v>
      </c>
    </row>
    <row r="390" spans="1:6" ht="15" customHeight="1" x14ac:dyDescent="0.25">
      <c r="A390" s="8">
        <v>46142</v>
      </c>
      <c r="B390" s="7" t="s">
        <v>469</v>
      </c>
      <c r="C390" s="6"/>
      <c r="D390" s="15"/>
      <c r="E390" s="26">
        <v>90440</v>
      </c>
      <c r="F390" s="13">
        <f t="shared" si="6"/>
        <v>210878.05000000016</v>
      </c>
    </row>
    <row r="391" spans="1:6" ht="15" customHeight="1" x14ac:dyDescent="0.25">
      <c r="A391" s="9">
        <v>46142</v>
      </c>
      <c r="B391" s="5" t="s">
        <v>470</v>
      </c>
      <c r="C391" s="4"/>
      <c r="D391" s="20">
        <v>0</v>
      </c>
      <c r="E391" s="16">
        <v>5000</v>
      </c>
      <c r="F391" s="13">
        <f t="shared" si="6"/>
        <v>215878.05000000016</v>
      </c>
    </row>
    <row r="392" spans="1:6" ht="15" customHeight="1" x14ac:dyDescent="0.25">
      <c r="A392" s="8">
        <v>46142</v>
      </c>
      <c r="B392" s="7" t="s">
        <v>471</v>
      </c>
      <c r="C392" s="6"/>
      <c r="D392" s="15"/>
      <c r="E392" s="26">
        <v>109621</v>
      </c>
      <c r="F392" s="13">
        <f t="shared" si="6"/>
        <v>325499.05000000016</v>
      </c>
    </row>
    <row r="393" spans="1:6" ht="15" customHeight="1" x14ac:dyDescent="0.25">
      <c r="A393" s="9">
        <v>46142</v>
      </c>
      <c r="B393" s="5" t="s">
        <v>472</v>
      </c>
      <c r="C393" s="4"/>
      <c r="D393" s="16"/>
      <c r="E393" s="24">
        <v>2441</v>
      </c>
      <c r="F393" s="13">
        <f t="shared" si="6"/>
        <v>327940.05000000016</v>
      </c>
    </row>
    <row r="394" spans="1:6" ht="15" customHeight="1" x14ac:dyDescent="0.25">
      <c r="A394" s="8">
        <v>46142</v>
      </c>
      <c r="B394" s="7" t="s">
        <v>473</v>
      </c>
      <c r="C394" s="6"/>
      <c r="D394" s="22">
        <v>307440.05</v>
      </c>
      <c r="E394" s="15"/>
      <c r="F394" s="13">
        <f t="shared" si="6"/>
        <v>20500.000000000175</v>
      </c>
    </row>
    <row r="395" spans="1:6" ht="15" customHeight="1" x14ac:dyDescent="0.25">
      <c r="A395" s="9">
        <v>46142</v>
      </c>
      <c r="B395" s="5" t="s">
        <v>474</v>
      </c>
      <c r="C395" s="4"/>
      <c r="D395" s="16"/>
      <c r="E395" s="24">
        <v>147635</v>
      </c>
      <c r="F395" s="13">
        <f t="shared" si="6"/>
        <v>168135.00000000017</v>
      </c>
    </row>
    <row r="396" spans="1:6" ht="15" customHeight="1" x14ac:dyDescent="0.25">
      <c r="A396" s="8">
        <v>46142</v>
      </c>
      <c r="B396" s="7" t="s">
        <v>475</v>
      </c>
      <c r="C396" s="6"/>
      <c r="D396" s="22">
        <v>12000</v>
      </c>
      <c r="E396" s="15"/>
      <c r="F396" s="13">
        <f t="shared" si="6"/>
        <v>156135.00000000017</v>
      </c>
    </row>
    <row r="397" spans="1:6" ht="15" customHeight="1" x14ac:dyDescent="0.25">
      <c r="A397" s="9">
        <v>46142</v>
      </c>
      <c r="B397" s="5" t="s">
        <v>476</v>
      </c>
      <c r="C397" s="4"/>
      <c r="D397" s="27">
        <v>5.9</v>
      </c>
      <c r="E397" s="16"/>
      <c r="F397" s="13">
        <f t="shared" si="6"/>
        <v>156129.10000000018</v>
      </c>
    </row>
    <row r="398" spans="1:6" ht="15" customHeight="1" x14ac:dyDescent="0.25">
      <c r="A398" s="8">
        <v>46142</v>
      </c>
      <c r="B398" s="7" t="s">
        <v>477</v>
      </c>
      <c r="C398" s="6"/>
      <c r="D398" s="28">
        <v>25000</v>
      </c>
      <c r="E398" s="15"/>
      <c r="F398" s="13">
        <f t="shared" si="6"/>
        <v>131129.10000000018</v>
      </c>
    </row>
    <row r="399" spans="1:6" ht="15" customHeight="1" x14ac:dyDescent="0.25">
      <c r="A399" s="9">
        <v>46142</v>
      </c>
      <c r="B399" s="5" t="s">
        <v>478</v>
      </c>
      <c r="C399" s="4"/>
      <c r="D399" s="27">
        <v>5.9</v>
      </c>
      <c r="E399" s="16"/>
      <c r="F399" s="13">
        <f t="shared" si="6"/>
        <v>131123.20000000019</v>
      </c>
    </row>
    <row r="400" spans="1:6" ht="15" customHeight="1" x14ac:dyDescent="0.25">
      <c r="A400" s="8">
        <v>46142</v>
      </c>
      <c r="B400" s="7" t="s">
        <v>479</v>
      </c>
      <c r="C400" s="6"/>
      <c r="D400" s="28">
        <v>128623.2</v>
      </c>
      <c r="E400" s="15"/>
      <c r="F400" s="13">
        <f t="shared" si="6"/>
        <v>2500.0000000001892</v>
      </c>
    </row>
    <row r="401" spans="1:6" ht="18" customHeight="1" x14ac:dyDescent="0.25">
      <c r="A401" s="10" t="s">
        <v>480</v>
      </c>
      <c r="B401" s="11"/>
      <c r="C401" s="11"/>
      <c r="D401" s="17">
        <f>SUM(D2:D400)</f>
        <v>18129258.18999999</v>
      </c>
      <c r="E401" s="17">
        <f>SUM(E2:E400)</f>
        <v>17768567.189999994</v>
      </c>
      <c r="F401" s="13"/>
    </row>
  </sheetData>
  <autoFilter ref="A1:F4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Info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RMHAC9</cp:lastModifiedBy>
  <dcterms:created xsi:type="dcterms:W3CDTF">2026-05-16T10:51:04Z</dcterms:created>
  <dcterms:modified xsi:type="dcterms:W3CDTF">2026-05-25T09:55:56Z</dcterms:modified>
</cp:coreProperties>
</file>